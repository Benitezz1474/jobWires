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Ingeniería de Software\"/>
    </mc:Choice>
  </mc:AlternateContent>
  <bookViews>
    <workbookView xWindow="0" yWindow="0" windowWidth="28800" windowHeight="12315"/>
  </bookViews>
  <sheets>
    <sheet name="Hoja1" sheetId="1" r:id="rId1"/>
  </sheets>
  <calcPr calcId="152511"/>
  <extLst>
    <ext uri="GoogleSheetsCustomDataVersion2">
      <go:sheetsCustomData xmlns:go="http://customooxmlschemas.google.com/" r:id="rId5" roundtripDataChecksum="xHlw+deTb2ImIDH9yKsKk1wReAlECC90nPdZoGLpwkQ="/>
    </ext>
  </extLst>
</workbook>
</file>

<file path=xl/calcChain.xml><?xml version="1.0" encoding="utf-8"?>
<calcChain xmlns="http://schemas.openxmlformats.org/spreadsheetml/2006/main">
  <c r="V10" i="1" l="1"/>
  <c r="V8" i="1"/>
  <c r="V11" i="1"/>
  <c r="S21" i="1" l="1"/>
  <c r="O12" i="1"/>
  <c r="O11" i="1"/>
  <c r="O10" i="1"/>
  <c r="O9" i="1"/>
  <c r="O8" i="1"/>
  <c r="O13" i="1" l="1"/>
  <c r="V6" i="1" s="1"/>
</calcChain>
</file>

<file path=xl/sharedStrings.xml><?xml version="1.0" encoding="utf-8"?>
<sst xmlns="http://schemas.openxmlformats.org/spreadsheetml/2006/main" count="92" uniqueCount="72">
  <si>
    <t>Interacción Función de transacción</t>
  </si>
  <si>
    <t>Requisitos funcionales</t>
  </si>
  <si>
    <t>Ficheros referenciados</t>
  </si>
  <si>
    <t>Items de datos referenciados</t>
  </si>
  <si>
    <t>Complejidad</t>
  </si>
  <si>
    <t>BAJA</t>
  </si>
  <si>
    <t>MEDIA</t>
  </si>
  <si>
    <t>ALTA</t>
  </si>
  <si>
    <t>Característica</t>
  </si>
  <si>
    <t>Influencia</t>
  </si>
  <si>
    <t>EI  – external input</t>
  </si>
  <si>
    <t>Registro de usuarios</t>
  </si>
  <si>
    <t>medio 4</t>
  </si>
  <si>
    <t>Cantidad</t>
  </si>
  <si>
    <t>Peso</t>
  </si>
  <si>
    <t>Total</t>
  </si>
  <si>
    <t>Comunicación de datos</t>
  </si>
  <si>
    <t>Registro de usuario proveedor</t>
  </si>
  <si>
    <t>complejo 6</t>
  </si>
  <si>
    <t>Entrada</t>
  </si>
  <si>
    <t>Proceso distribuido</t>
  </si>
  <si>
    <t>Edición Perfil usuario</t>
  </si>
  <si>
    <t>Salida</t>
  </si>
  <si>
    <t>Rendimiento</t>
  </si>
  <si>
    <t>Gestión de usuarios</t>
  </si>
  <si>
    <t>Consulta</t>
  </si>
  <si>
    <t xml:space="preserve">Configuración </t>
  </si>
  <si>
    <t>Gestión de servicios</t>
  </si>
  <si>
    <t>simple 3</t>
  </si>
  <si>
    <t>ALI</t>
  </si>
  <si>
    <t>Tasa de Transacciones</t>
  </si>
  <si>
    <t>Publicar servicios</t>
  </si>
  <si>
    <t>IE</t>
  </si>
  <si>
    <t>Entrada de Datos en línea</t>
  </si>
  <si>
    <t>Sección comentarios</t>
  </si>
  <si>
    <t>PFSA</t>
  </si>
  <si>
    <t>Eficiencia para el usuario final</t>
  </si>
  <si>
    <t>Calificación</t>
  </si>
  <si>
    <t>Actualizaciones en línea</t>
  </si>
  <si>
    <t>Reservar servicio</t>
  </si>
  <si>
    <t>Procesamiento complejo</t>
  </si>
  <si>
    <t>Cancelación servicio</t>
  </si>
  <si>
    <t>Reusabilidad del código</t>
  </si>
  <si>
    <t>Reagendar servicio</t>
  </si>
  <si>
    <t>Facilidad de instalación</t>
  </si>
  <si>
    <t>Mensajería interna</t>
  </si>
  <si>
    <t>Facilidad de operación</t>
  </si>
  <si>
    <t>Reseña</t>
  </si>
  <si>
    <t>Instalaciones múltiples</t>
  </si>
  <si>
    <t>EO – external output</t>
  </si>
  <si>
    <t>Facilidad de cambios</t>
  </si>
  <si>
    <t>FA</t>
  </si>
  <si>
    <t>EQ – external query</t>
  </si>
  <si>
    <t xml:space="preserve">Login de usuarios </t>
  </si>
  <si>
    <t>PFA</t>
  </si>
  <si>
    <t>Login usuario administradores</t>
  </si>
  <si>
    <t>Ver perfil usuarios</t>
  </si>
  <si>
    <t>ESFUERZO</t>
  </si>
  <si>
    <t>Ver perfil proveedor</t>
  </si>
  <si>
    <t>Buscar servicios</t>
  </si>
  <si>
    <t>Semanas</t>
  </si>
  <si>
    <t>horas</t>
  </si>
  <si>
    <t>Almacenamiento Función de datos</t>
  </si>
  <si>
    <t>Formato lógico</t>
  </si>
  <si>
    <t>Item referenciado (tipo de dato)</t>
  </si>
  <si>
    <t xml:space="preserve">ILF – Internal logic file </t>
  </si>
  <si>
    <t xml:space="preserve">Nº de tablas en BBDD </t>
  </si>
  <si>
    <t>media 10</t>
  </si>
  <si>
    <t xml:space="preserve">EIF – External interface file </t>
  </si>
  <si>
    <t>API mensajería end points</t>
  </si>
  <si>
    <t>simple 5</t>
  </si>
  <si>
    <t>Cálculo punto función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</si>
</sst>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Lucida San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Lucida Sans Unicode"/>
      <family val="2"/>
    </font>
    <font>
      <sz val="10"/>
      <name val="Lucida Sans Unicode"/>
      <family val="2"/>
    </font>
    <font>
      <sz val="10"/>
      <color rgb="FF000000"/>
      <name val="Lucida Sans Unicode"/>
      <family val="2"/>
    </font>
    <font>
      <sz val="18"/>
      <color theme="1"/>
      <name val="Lucida Sans Unicode"/>
      <family val="2"/>
    </font>
  </fonts>
  <fills count="6">
    <fill>
      <patternFill patternType="none"/>
    </fill>
    <fill>
      <patternFill patternType="gray125"/>
    </fill>
    <fill>
      <patternFill patternType="solid">
        <fgColor rgb="FFAC7EFF"/>
        <bgColor rgb="FFAC7EFF"/>
      </patternFill>
    </fill>
    <fill>
      <patternFill patternType="solid">
        <fgColor rgb="FF8647F9"/>
        <bgColor rgb="FF8647F9"/>
      </patternFill>
    </fill>
    <fill>
      <patternFill patternType="solid">
        <fgColor rgb="FF3E03B5"/>
        <bgColor indexed="64"/>
      </patternFill>
    </fill>
    <fill>
      <patternFill patternType="solid">
        <fgColor theme="7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666666"/>
      </bottom>
      <diagonal/>
    </border>
    <border>
      <left/>
      <right style="medium">
        <color indexed="64"/>
      </right>
      <top style="thin">
        <color rgb="FF666666"/>
      </top>
      <bottom style="thin">
        <color rgb="FF666666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666666"/>
      </bottom>
      <diagonal/>
    </border>
    <border>
      <left style="medium">
        <color indexed="64"/>
      </left>
      <right style="medium">
        <color indexed="64"/>
      </right>
      <top style="thin">
        <color rgb="FF666666"/>
      </top>
      <bottom style="thin">
        <color rgb="FF666666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434343"/>
      </bottom>
      <diagonal/>
    </border>
    <border>
      <left style="medium">
        <color indexed="64"/>
      </left>
      <right style="medium">
        <color indexed="64"/>
      </right>
      <top style="thin">
        <color rgb="FF43434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666666"/>
      </top>
      <bottom/>
      <diagonal/>
    </border>
    <border>
      <left/>
      <right style="medium">
        <color indexed="64"/>
      </right>
      <top style="thin">
        <color rgb="FF434343"/>
      </top>
      <bottom style="thin">
        <color rgb="FF434343"/>
      </bottom>
      <diagonal/>
    </border>
    <border>
      <left/>
      <right style="medium">
        <color indexed="64"/>
      </right>
      <top/>
      <bottom style="thin">
        <color rgb="FF434343"/>
      </bottom>
      <diagonal/>
    </border>
    <border>
      <left/>
      <right style="medium">
        <color indexed="64"/>
      </right>
      <top style="thin">
        <color rgb="FF434343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666666"/>
      </top>
      <bottom/>
      <diagonal/>
    </border>
    <border>
      <left/>
      <right style="medium">
        <color indexed="64"/>
      </right>
      <top style="thin">
        <color rgb="FF434343"/>
      </top>
      <bottom/>
      <diagonal/>
    </border>
    <border>
      <left style="thin">
        <color rgb="FF3E03B5"/>
      </left>
      <right style="thin">
        <color rgb="FF3E03B5"/>
      </right>
      <top style="thin">
        <color rgb="FF3E03B5"/>
      </top>
      <bottom style="thin">
        <color rgb="FF3E03B5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/>
    <xf numFmtId="0" fontId="6" fillId="0" borderId="0" xfId="0" applyFont="1" applyAlignment="1"/>
    <xf numFmtId="0" fontId="4" fillId="2" borderId="1" xfId="0" applyFont="1" applyFill="1" applyBorder="1" applyAlignment="1"/>
    <xf numFmtId="0" fontId="4" fillId="0" borderId="1" xfId="0" applyFont="1" applyBorder="1" applyAlignment="1"/>
    <xf numFmtId="0" fontId="4" fillId="0" borderId="2" xfId="0" applyFont="1" applyBorder="1" applyAlignment="1"/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2" borderId="1" xfId="0" applyFont="1" applyFill="1" applyBorder="1" applyAlignment="1"/>
    <xf numFmtId="0" fontId="6" fillId="0" borderId="2" xfId="0" applyFont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 applyAlignment="1"/>
    <xf numFmtId="0" fontId="3" fillId="0" borderId="0" xfId="0" applyFont="1" applyAlignment="1">
      <alignment horizontal="center"/>
    </xf>
    <xf numFmtId="0" fontId="6" fillId="2" borderId="4" xfId="0" applyFont="1" applyFill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0" borderId="5" xfId="0" applyFont="1" applyBorder="1" applyAlignment="1">
      <alignment horizontal="right"/>
    </xf>
    <xf numFmtId="0" fontId="6" fillId="2" borderId="4" xfId="0" applyFont="1" applyFill="1" applyBorder="1" applyAlignment="1">
      <alignment horizontal="center"/>
    </xf>
    <xf numFmtId="0" fontId="4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0" fontId="4" fillId="3" borderId="6" xfId="0" applyFont="1" applyFill="1" applyBorder="1" applyAlignment="1"/>
    <xf numFmtId="0" fontId="6" fillId="0" borderId="7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4" fillId="3" borderId="8" xfId="0" applyFont="1" applyFill="1" applyBorder="1" applyAlignment="1"/>
    <xf numFmtId="0" fontId="6" fillId="0" borderId="9" xfId="0" applyFont="1" applyBorder="1" applyAlignment="1">
      <alignment horizontal="right"/>
    </xf>
    <xf numFmtId="0" fontId="6" fillId="0" borderId="0" xfId="0" applyFont="1" applyAlignment="1">
      <alignment vertic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10" xfId="0" applyFont="1" applyBorder="1" applyAlignment="1"/>
    <xf numFmtId="0" fontId="7" fillId="0" borderId="18" xfId="0" applyFont="1" applyBorder="1" applyAlignment="1">
      <alignment horizontal="center"/>
    </xf>
    <xf numFmtId="0" fontId="7" fillId="0" borderId="10" xfId="0" applyFont="1" applyBorder="1" applyAlignment="1">
      <alignment vertical="center"/>
    </xf>
    <xf numFmtId="0" fontId="7" fillId="0" borderId="28" xfId="0" applyFont="1" applyBorder="1" applyAlignment="1">
      <alignment horizontal="left" vertical="center"/>
    </xf>
    <xf numFmtId="0" fontId="7" fillId="0" borderId="29" xfId="0" applyFont="1" applyBorder="1" applyAlignment="1"/>
    <xf numFmtId="0" fontId="9" fillId="0" borderId="29" xfId="0" applyFont="1" applyBorder="1" applyAlignment="1"/>
    <xf numFmtId="0" fontId="7" fillId="0" borderId="29" xfId="0" applyFont="1" applyBorder="1"/>
    <xf numFmtId="0" fontId="7" fillId="0" borderId="26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/>
    </xf>
    <xf numFmtId="0" fontId="7" fillId="0" borderId="30" xfId="0" applyFont="1" applyBorder="1" applyAlignment="1"/>
    <xf numFmtId="0" fontId="7" fillId="0" borderId="10" xfId="0" applyFont="1" applyBorder="1" applyAlignment="1">
      <alignment horizontal="center" vertical="center"/>
    </xf>
    <xf numFmtId="0" fontId="7" fillId="0" borderId="32" xfId="0" applyFont="1" applyBorder="1"/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28" xfId="0" applyFont="1" applyBorder="1" applyAlignment="1"/>
    <xf numFmtId="0" fontId="6" fillId="0" borderId="35" xfId="0" applyFont="1" applyBorder="1" applyAlignment="1"/>
    <xf numFmtId="0" fontId="4" fillId="0" borderId="35" xfId="0" applyFont="1" applyBorder="1" applyAlignment="1"/>
    <xf numFmtId="0" fontId="6" fillId="0" borderId="35" xfId="0" applyFont="1" applyBorder="1" applyAlignment="1">
      <alignment horizontal="right"/>
    </xf>
    <xf numFmtId="0" fontId="4" fillId="3" borderId="35" xfId="0" applyFont="1" applyFill="1" applyBorder="1" applyAlignment="1">
      <alignment horizontal="right"/>
    </xf>
    <xf numFmtId="0" fontId="4" fillId="3" borderId="35" xfId="0" applyFont="1" applyFill="1" applyBorder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5" borderId="0" xfId="0" applyFont="1" applyFill="1" applyAlignment="1"/>
    <xf numFmtId="0" fontId="10" fillId="5" borderId="0" xfId="0" applyFont="1" applyFill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7" fillId="0" borderId="21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8" fillId="0" borderId="13" xfId="0" applyFont="1" applyBorder="1"/>
    <xf numFmtId="0" fontId="8" fillId="0" borderId="26" xfId="0" applyFont="1" applyBorder="1"/>
    <xf numFmtId="0" fontId="7" fillId="0" borderId="27" xfId="0" applyFont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7" fillId="4" borderId="3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E03B5"/>
      <color rgb="FF9134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7"/>
  <sheetViews>
    <sheetView tabSelected="1" zoomScaleNormal="100" workbookViewId="0">
      <selection activeCell="D41" sqref="D41"/>
    </sheetView>
  </sheetViews>
  <sheetFormatPr baseColWidth="10" defaultColWidth="14.42578125" defaultRowHeight="15" customHeight="1" x14ac:dyDescent="0.25"/>
  <cols>
    <col min="1" max="1" width="9.140625" style="68" customWidth="1"/>
    <col min="2" max="2" width="38.5703125" customWidth="1"/>
    <col min="3" max="3" width="34.140625" customWidth="1"/>
    <col min="4" max="4" width="27.28515625" customWidth="1"/>
    <col min="5" max="5" width="29.5703125" customWidth="1"/>
    <col min="6" max="6" width="15.28515625" customWidth="1"/>
    <col min="7" max="7" width="13" customWidth="1"/>
    <col min="8" max="8" width="13.140625" customWidth="1"/>
    <col min="9" max="17" width="9.140625" customWidth="1"/>
    <col min="18" max="18" width="28.7109375" customWidth="1"/>
    <col min="19" max="19" width="10.5703125" customWidth="1"/>
    <col min="20" max="20" width="9.140625" customWidth="1"/>
    <col min="21" max="21" width="12.42578125" customWidth="1"/>
    <col min="22" max="24" width="9.140625" customWidth="1"/>
  </cols>
  <sheetData>
    <row r="1" spans="1:23" ht="15" customHeight="1" x14ac:dyDescent="0.25">
      <c r="A1" s="69" t="s">
        <v>71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</row>
    <row r="2" spans="1:23" ht="15" customHeigh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</row>
    <row r="3" spans="1:23" ht="15" customHeight="1" x14ac:dyDescent="0.25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</row>
    <row r="4" spans="1:23" ht="15.75" thickBot="1" x14ac:dyDescent="0.3">
      <c r="B4" s="1"/>
      <c r="C4" s="2"/>
    </row>
    <row r="5" spans="1:23" ht="15.75" thickBot="1" x14ac:dyDescent="0.3">
      <c r="B5" s="48" t="s">
        <v>0</v>
      </c>
      <c r="C5" s="2"/>
    </row>
    <row r="6" spans="1:23" ht="15.75" customHeight="1" thickBot="1" x14ac:dyDescent="0.3">
      <c r="B6" s="70" t="s">
        <v>1</v>
      </c>
      <c r="C6" s="74"/>
      <c r="D6" s="35" t="s">
        <v>2</v>
      </c>
      <c r="E6" s="56" t="s">
        <v>3</v>
      </c>
      <c r="F6" s="41" t="s">
        <v>4</v>
      </c>
      <c r="I6" s="72" t="s">
        <v>5</v>
      </c>
      <c r="J6" s="73"/>
      <c r="K6" s="72" t="s">
        <v>6</v>
      </c>
      <c r="L6" s="73"/>
      <c r="M6" s="72" t="s">
        <v>7</v>
      </c>
      <c r="N6" s="73"/>
      <c r="O6" s="3"/>
      <c r="Q6" s="61"/>
      <c r="R6" s="62" t="s">
        <v>8</v>
      </c>
      <c r="S6" s="62" t="s">
        <v>9</v>
      </c>
      <c r="U6" s="27" t="s">
        <v>54</v>
      </c>
      <c r="V6" s="28">
        <f>O13*0.65+(0.01*S21)</f>
        <v>80.970000000000013</v>
      </c>
    </row>
    <row r="7" spans="1:23" ht="15.75" customHeight="1" thickBot="1" x14ac:dyDescent="0.3">
      <c r="B7" s="77" t="s">
        <v>10</v>
      </c>
      <c r="C7" s="49" t="s">
        <v>11</v>
      </c>
      <c r="D7" s="36">
        <v>2</v>
      </c>
      <c r="E7" s="36">
        <v>8</v>
      </c>
      <c r="F7" s="33" t="s">
        <v>12</v>
      </c>
      <c r="I7" s="4" t="s">
        <v>13</v>
      </c>
      <c r="J7" s="5" t="s">
        <v>14</v>
      </c>
      <c r="K7" s="4" t="s">
        <v>13</v>
      </c>
      <c r="L7" s="5" t="s">
        <v>14</v>
      </c>
      <c r="M7" s="4" t="s">
        <v>13</v>
      </c>
      <c r="N7" s="6" t="s">
        <v>14</v>
      </c>
      <c r="O7" s="7" t="s">
        <v>15</v>
      </c>
      <c r="Q7" s="63">
        <v>1</v>
      </c>
      <c r="R7" s="61" t="s">
        <v>16</v>
      </c>
      <c r="S7" s="61">
        <v>4</v>
      </c>
    </row>
    <row r="8" spans="1:23" ht="15.75" customHeight="1" thickBot="1" x14ac:dyDescent="0.3">
      <c r="B8" s="78"/>
      <c r="C8" s="50" t="s">
        <v>17</v>
      </c>
      <c r="D8" s="37">
        <v>3</v>
      </c>
      <c r="E8" s="38">
        <v>10</v>
      </c>
      <c r="F8" s="34" t="s">
        <v>18</v>
      </c>
      <c r="H8" s="5" t="s">
        <v>19</v>
      </c>
      <c r="I8" s="8">
        <v>10</v>
      </c>
      <c r="J8" s="9">
        <v>3</v>
      </c>
      <c r="K8" s="10">
        <v>2</v>
      </c>
      <c r="L8" s="9">
        <v>4</v>
      </c>
      <c r="M8" s="10">
        <v>2</v>
      </c>
      <c r="N8" s="11">
        <v>6</v>
      </c>
      <c r="O8" s="12">
        <f t="shared" ref="O8:O12" si="0">SUM(I8*J8,K8*L8,M8*N8)</f>
        <v>50</v>
      </c>
      <c r="Q8" s="63">
        <v>2</v>
      </c>
      <c r="R8" s="61" t="s">
        <v>20</v>
      </c>
      <c r="S8" s="61">
        <v>4</v>
      </c>
      <c r="U8" s="27" t="s">
        <v>57</v>
      </c>
      <c r="V8" s="29">
        <f>V6/150*V6^0.4</f>
        <v>3.1301311601675077</v>
      </c>
    </row>
    <row r="9" spans="1:23" ht="15.75" customHeight="1" thickBot="1" x14ac:dyDescent="0.3">
      <c r="B9" s="78"/>
      <c r="C9" s="51" t="s">
        <v>21</v>
      </c>
      <c r="D9" s="38">
        <v>3</v>
      </c>
      <c r="E9" s="38">
        <v>9</v>
      </c>
      <c r="F9" s="34" t="s">
        <v>18</v>
      </c>
      <c r="H9" s="5" t="s">
        <v>22</v>
      </c>
      <c r="I9" s="13"/>
      <c r="J9" s="9">
        <v>3</v>
      </c>
      <c r="K9" s="10"/>
      <c r="L9" s="9">
        <v>4</v>
      </c>
      <c r="M9" s="14"/>
      <c r="N9" s="11">
        <v>6</v>
      </c>
      <c r="O9" s="12">
        <f t="shared" si="0"/>
        <v>0</v>
      </c>
      <c r="Q9" s="63">
        <v>3</v>
      </c>
      <c r="R9" s="61" t="s">
        <v>23</v>
      </c>
      <c r="S9" s="61">
        <v>5</v>
      </c>
      <c r="V9" s="24"/>
    </row>
    <row r="10" spans="1:23" ht="15.75" customHeight="1" thickBot="1" x14ac:dyDescent="0.3">
      <c r="B10" s="78"/>
      <c r="C10" s="50" t="s">
        <v>24</v>
      </c>
      <c r="D10" s="38">
        <v>2</v>
      </c>
      <c r="E10" s="36">
        <v>9</v>
      </c>
      <c r="F10" s="34" t="s">
        <v>12</v>
      </c>
      <c r="H10" s="5" t="s">
        <v>25</v>
      </c>
      <c r="I10" s="8">
        <v>3</v>
      </c>
      <c r="J10" s="9">
        <v>3</v>
      </c>
      <c r="K10" s="10">
        <v>1</v>
      </c>
      <c r="L10" s="9">
        <v>4</v>
      </c>
      <c r="M10" s="10">
        <v>1</v>
      </c>
      <c r="N10" s="11">
        <v>6</v>
      </c>
      <c r="O10" s="12">
        <f t="shared" si="0"/>
        <v>19</v>
      </c>
      <c r="Q10" s="63">
        <v>4</v>
      </c>
      <c r="R10" s="61" t="s">
        <v>26</v>
      </c>
      <c r="S10" s="61">
        <v>2</v>
      </c>
      <c r="U10" s="30" t="s">
        <v>60</v>
      </c>
      <c r="V10" s="31">
        <f>ROUND(V8*4,0)</f>
        <v>13</v>
      </c>
    </row>
    <row r="11" spans="1:23" ht="15.75" customHeight="1" thickBot="1" x14ac:dyDescent="0.3">
      <c r="B11" s="78"/>
      <c r="C11" s="51" t="s">
        <v>27</v>
      </c>
      <c r="D11" s="38">
        <v>1</v>
      </c>
      <c r="E11" s="47">
        <v>4</v>
      </c>
      <c r="F11" s="34" t="s">
        <v>28</v>
      </c>
      <c r="H11" s="5" t="s">
        <v>29</v>
      </c>
      <c r="I11" s="16"/>
      <c r="J11" s="17">
        <v>3</v>
      </c>
      <c r="K11" s="18">
        <v>10</v>
      </c>
      <c r="L11" s="17">
        <v>4</v>
      </c>
      <c r="M11" s="19"/>
      <c r="N11" s="20">
        <v>6</v>
      </c>
      <c r="O11" s="21">
        <f t="shared" si="0"/>
        <v>40</v>
      </c>
      <c r="Q11" s="63">
        <v>5</v>
      </c>
      <c r="R11" s="61" t="s">
        <v>30</v>
      </c>
      <c r="S11" s="61">
        <v>2</v>
      </c>
      <c r="U11" s="27" t="s">
        <v>61</v>
      </c>
      <c r="V11" s="28">
        <f>V10*35</f>
        <v>455</v>
      </c>
    </row>
    <row r="12" spans="1:23" ht="15.75" customHeight="1" x14ac:dyDescent="0.25">
      <c r="B12" s="78"/>
      <c r="C12" s="52" t="s">
        <v>31</v>
      </c>
      <c r="D12" s="38">
        <v>1</v>
      </c>
      <c r="E12" s="38">
        <v>4</v>
      </c>
      <c r="F12" s="34" t="s">
        <v>28</v>
      </c>
      <c r="H12" s="5" t="s">
        <v>32</v>
      </c>
      <c r="I12" s="8">
        <v>5</v>
      </c>
      <c r="J12" s="9">
        <v>3</v>
      </c>
      <c r="K12" s="10"/>
      <c r="L12" s="9">
        <v>4</v>
      </c>
      <c r="M12" s="14"/>
      <c r="N12" s="11">
        <v>6</v>
      </c>
      <c r="O12" s="12">
        <f t="shared" si="0"/>
        <v>15</v>
      </c>
      <c r="Q12" s="63">
        <v>6</v>
      </c>
      <c r="R12" s="61" t="s">
        <v>33</v>
      </c>
      <c r="S12" s="61">
        <v>4</v>
      </c>
    </row>
    <row r="13" spans="1:23" ht="15.75" customHeight="1" x14ac:dyDescent="0.25">
      <c r="B13" s="78"/>
      <c r="C13" s="51" t="s">
        <v>34</v>
      </c>
      <c r="D13" s="38">
        <v>1</v>
      </c>
      <c r="E13" s="38">
        <v>4</v>
      </c>
      <c r="F13" s="34" t="s">
        <v>28</v>
      </c>
      <c r="N13" s="22" t="s">
        <v>35</v>
      </c>
      <c r="O13" s="23">
        <f>SUM(O8:O12)</f>
        <v>124</v>
      </c>
      <c r="Q13" s="63">
        <v>7</v>
      </c>
      <c r="R13" s="61" t="s">
        <v>36</v>
      </c>
      <c r="S13" s="61">
        <v>4</v>
      </c>
    </row>
    <row r="14" spans="1:23" ht="15.75" customHeight="1" x14ac:dyDescent="0.25">
      <c r="B14" s="78"/>
      <c r="C14" s="52" t="s">
        <v>37</v>
      </c>
      <c r="D14" s="38">
        <v>1</v>
      </c>
      <c r="E14" s="38">
        <v>2</v>
      </c>
      <c r="F14" s="34" t="s">
        <v>28</v>
      </c>
      <c r="I14" s="24"/>
      <c r="J14" s="24"/>
      <c r="K14" s="25"/>
      <c r="L14" s="24"/>
      <c r="M14" s="3"/>
      <c r="N14" s="24"/>
      <c r="O14" s="26"/>
      <c r="Q14" s="63">
        <v>8</v>
      </c>
      <c r="R14" s="61" t="s">
        <v>38</v>
      </c>
      <c r="S14" s="61">
        <v>2</v>
      </c>
    </row>
    <row r="15" spans="1:23" ht="15.75" customHeight="1" x14ac:dyDescent="0.25">
      <c r="B15" s="78"/>
      <c r="C15" s="52" t="s">
        <v>39</v>
      </c>
      <c r="D15" s="38">
        <v>1</v>
      </c>
      <c r="E15" s="38">
        <v>1</v>
      </c>
      <c r="F15" s="34" t="s">
        <v>28</v>
      </c>
      <c r="I15" s="24"/>
      <c r="J15" s="24"/>
      <c r="K15" s="25"/>
      <c r="L15" s="24"/>
      <c r="M15" s="3"/>
      <c r="N15" s="24"/>
      <c r="O15" s="26"/>
      <c r="Q15" s="63">
        <v>9</v>
      </c>
      <c r="R15" s="61" t="s">
        <v>40</v>
      </c>
      <c r="S15" s="61">
        <v>2</v>
      </c>
    </row>
    <row r="16" spans="1:23" ht="15.75" customHeight="1" x14ac:dyDescent="0.25">
      <c r="B16" s="78"/>
      <c r="C16" s="52" t="s">
        <v>41</v>
      </c>
      <c r="D16" s="38">
        <v>1</v>
      </c>
      <c r="E16" s="38">
        <v>1</v>
      </c>
      <c r="F16" s="34" t="s">
        <v>28</v>
      </c>
      <c r="I16" s="24"/>
      <c r="J16" s="24"/>
      <c r="K16" s="25"/>
      <c r="L16" s="24"/>
      <c r="M16" s="3"/>
      <c r="N16" s="24"/>
      <c r="O16" s="26"/>
      <c r="Q16" s="63">
        <v>10</v>
      </c>
      <c r="R16" s="61" t="s">
        <v>42</v>
      </c>
      <c r="S16" s="61">
        <v>3</v>
      </c>
    </row>
    <row r="17" spans="2:19" ht="15.75" customHeight="1" x14ac:dyDescent="0.25">
      <c r="B17" s="78"/>
      <c r="C17" s="52" t="s">
        <v>43</v>
      </c>
      <c r="D17" s="38">
        <v>1</v>
      </c>
      <c r="E17" s="38">
        <v>1</v>
      </c>
      <c r="F17" s="34" t="s">
        <v>28</v>
      </c>
      <c r="I17" s="24"/>
      <c r="J17" s="24"/>
      <c r="K17" s="25"/>
      <c r="L17" s="24"/>
      <c r="M17" s="3"/>
      <c r="N17" s="24"/>
      <c r="O17" s="26"/>
      <c r="Q17" s="63">
        <v>11</v>
      </c>
      <c r="R17" s="61" t="s">
        <v>44</v>
      </c>
      <c r="S17" s="61">
        <v>0</v>
      </c>
    </row>
    <row r="18" spans="2:19" ht="15.75" customHeight="1" x14ac:dyDescent="0.25">
      <c r="B18" s="78"/>
      <c r="C18" s="50" t="s">
        <v>45</v>
      </c>
      <c r="D18" s="38">
        <v>1</v>
      </c>
      <c r="E18" s="38">
        <v>2</v>
      </c>
      <c r="F18" s="34" t="s">
        <v>28</v>
      </c>
      <c r="I18" s="24"/>
      <c r="J18" s="24"/>
      <c r="K18" s="25"/>
      <c r="L18" s="24"/>
      <c r="M18" s="3"/>
      <c r="N18" s="24"/>
      <c r="O18" s="26"/>
      <c r="Q18" s="63">
        <v>12</v>
      </c>
      <c r="R18" s="61" t="s">
        <v>46</v>
      </c>
      <c r="S18" s="61">
        <v>0</v>
      </c>
    </row>
    <row r="19" spans="2:19" ht="15.75" customHeight="1" x14ac:dyDescent="0.25">
      <c r="B19" s="79"/>
      <c r="C19" s="51" t="s">
        <v>47</v>
      </c>
      <c r="D19" s="38">
        <v>1</v>
      </c>
      <c r="E19" s="38">
        <v>2</v>
      </c>
      <c r="F19" s="34" t="s">
        <v>28</v>
      </c>
      <c r="I19" s="24"/>
      <c r="J19" s="24"/>
      <c r="K19" s="25"/>
      <c r="L19" s="24"/>
      <c r="M19" s="3"/>
      <c r="N19" s="24"/>
      <c r="O19" s="26"/>
      <c r="Q19" s="63">
        <v>13</v>
      </c>
      <c r="R19" s="61" t="s">
        <v>48</v>
      </c>
      <c r="S19" s="61">
        <v>2</v>
      </c>
    </row>
    <row r="20" spans="2:19" ht="15.75" customHeight="1" x14ac:dyDescent="0.25">
      <c r="B20" s="80" t="s">
        <v>49</v>
      </c>
      <c r="C20" s="51"/>
      <c r="D20" s="38"/>
      <c r="E20" s="38"/>
      <c r="F20" s="34"/>
      <c r="I20" s="24"/>
      <c r="J20" s="24"/>
      <c r="K20" s="25"/>
      <c r="L20" s="24"/>
      <c r="M20" s="3"/>
      <c r="N20" s="24"/>
      <c r="O20" s="26"/>
      <c r="Q20" s="63">
        <v>14</v>
      </c>
      <c r="R20" s="61" t="s">
        <v>50</v>
      </c>
      <c r="S20" s="61">
        <v>3</v>
      </c>
    </row>
    <row r="21" spans="2:19" ht="15.75" customHeight="1" x14ac:dyDescent="0.25">
      <c r="B21" s="78"/>
      <c r="C21" s="52"/>
      <c r="D21" s="38"/>
      <c r="E21" s="38"/>
      <c r="F21" s="42"/>
      <c r="I21" s="24"/>
      <c r="J21" s="24"/>
      <c r="K21" s="25"/>
      <c r="L21" s="24"/>
      <c r="M21" s="3"/>
      <c r="N21" s="24"/>
      <c r="O21" s="26"/>
      <c r="Q21" s="3"/>
      <c r="R21" s="64" t="s">
        <v>51</v>
      </c>
      <c r="S21" s="65">
        <f>SUM(S7:S20)</f>
        <v>37</v>
      </c>
    </row>
    <row r="22" spans="2:19" ht="15.75" customHeight="1" x14ac:dyDescent="0.25">
      <c r="B22" s="79"/>
      <c r="C22" s="52"/>
      <c r="D22" s="38"/>
      <c r="E22" s="38"/>
      <c r="F22" s="43"/>
      <c r="I22" s="24"/>
      <c r="J22" s="24"/>
      <c r="K22" s="25"/>
      <c r="L22" s="24"/>
      <c r="M22" s="3"/>
      <c r="N22" s="24"/>
      <c r="O22" s="26"/>
    </row>
    <row r="23" spans="2:19" ht="15.75" customHeight="1" x14ac:dyDescent="0.25">
      <c r="B23" s="80" t="s">
        <v>52</v>
      </c>
      <c r="C23" s="50" t="s">
        <v>53</v>
      </c>
      <c r="D23" s="38">
        <v>1</v>
      </c>
      <c r="E23" s="38">
        <v>2</v>
      </c>
      <c r="F23" s="43" t="s">
        <v>28</v>
      </c>
      <c r="J23" s="24"/>
      <c r="K23" s="25"/>
      <c r="L23" s="24"/>
      <c r="M23" s="3"/>
      <c r="N23" s="24"/>
      <c r="O23" s="26"/>
    </row>
    <row r="24" spans="2:19" ht="15.75" customHeight="1" x14ac:dyDescent="0.25">
      <c r="B24" s="78"/>
      <c r="C24" s="50" t="s">
        <v>55</v>
      </c>
      <c r="D24" s="38">
        <v>1</v>
      </c>
      <c r="E24" s="38">
        <v>2</v>
      </c>
      <c r="F24" s="43" t="s">
        <v>28</v>
      </c>
      <c r="J24" s="24"/>
      <c r="K24" s="25"/>
      <c r="L24" s="24"/>
      <c r="M24" s="3"/>
      <c r="N24" s="24"/>
      <c r="O24" s="26"/>
    </row>
    <row r="25" spans="2:19" ht="15.75" customHeight="1" x14ac:dyDescent="0.25">
      <c r="B25" s="78"/>
      <c r="C25" s="50" t="s">
        <v>56</v>
      </c>
      <c r="D25" s="38">
        <v>2</v>
      </c>
      <c r="E25" s="38">
        <v>7</v>
      </c>
      <c r="F25" s="43" t="s">
        <v>12</v>
      </c>
      <c r="J25" s="24"/>
      <c r="K25" s="25"/>
      <c r="L25" s="24"/>
      <c r="M25" s="3"/>
      <c r="N25" s="24"/>
      <c r="O25" s="26"/>
    </row>
    <row r="26" spans="2:19" ht="15.75" customHeight="1" x14ac:dyDescent="0.25">
      <c r="B26" s="78"/>
      <c r="C26" s="50" t="s">
        <v>58</v>
      </c>
      <c r="D26" s="38">
        <v>3</v>
      </c>
      <c r="E26" s="38">
        <v>9</v>
      </c>
      <c r="F26" s="43" t="s">
        <v>18</v>
      </c>
      <c r="J26" s="24"/>
      <c r="K26" s="25"/>
      <c r="L26" s="24"/>
      <c r="M26" s="3"/>
      <c r="N26" s="24"/>
      <c r="O26" s="26"/>
    </row>
    <row r="27" spans="2:19" ht="15.75" customHeight="1" thickBot="1" x14ac:dyDescent="0.3">
      <c r="B27" s="78"/>
      <c r="C27" s="57" t="s">
        <v>59</v>
      </c>
      <c r="D27" s="58">
        <v>2</v>
      </c>
      <c r="E27" s="58">
        <v>4</v>
      </c>
      <c r="F27" s="59" t="s">
        <v>28</v>
      </c>
      <c r="J27" s="24"/>
      <c r="K27" s="25"/>
      <c r="L27" s="24"/>
      <c r="M27" s="3"/>
      <c r="N27" s="24"/>
      <c r="O27" s="26"/>
    </row>
    <row r="28" spans="2:19" ht="15.75" customHeight="1" thickBot="1" x14ac:dyDescent="0.3">
      <c r="B28" s="81"/>
      <c r="C28" s="82"/>
      <c r="D28" s="83"/>
      <c r="E28" s="83"/>
      <c r="F28" s="84"/>
      <c r="J28" s="24"/>
      <c r="K28" s="25"/>
      <c r="L28" s="24"/>
      <c r="M28" s="3"/>
      <c r="N28" s="24"/>
      <c r="O28" s="26"/>
    </row>
    <row r="29" spans="2:19" ht="15.75" customHeight="1" thickBot="1" x14ac:dyDescent="0.3">
      <c r="B29" s="70" t="s">
        <v>62</v>
      </c>
      <c r="C29" s="71"/>
      <c r="D29" s="85"/>
      <c r="E29" s="85"/>
      <c r="F29" s="86"/>
      <c r="I29" s="24"/>
      <c r="J29" s="24"/>
      <c r="K29" s="25"/>
      <c r="L29" s="24"/>
      <c r="M29" s="3"/>
      <c r="N29" s="24"/>
      <c r="O29" s="26"/>
    </row>
    <row r="30" spans="2:19" ht="15.75" customHeight="1" thickBot="1" x14ac:dyDescent="0.3">
      <c r="B30" s="75"/>
      <c r="C30" s="76"/>
      <c r="D30" s="35" t="s">
        <v>63</v>
      </c>
      <c r="E30" s="46" t="s">
        <v>64</v>
      </c>
      <c r="F30" s="41" t="s">
        <v>4</v>
      </c>
      <c r="I30" s="24"/>
      <c r="J30" s="24"/>
      <c r="K30" s="25"/>
      <c r="L30" s="24"/>
      <c r="M30" s="3"/>
      <c r="N30" s="24"/>
      <c r="O30" s="26"/>
    </row>
    <row r="31" spans="2:19" ht="15.75" customHeight="1" x14ac:dyDescent="0.25">
      <c r="B31" s="53" t="s">
        <v>65</v>
      </c>
      <c r="C31" s="60" t="s">
        <v>66</v>
      </c>
      <c r="D31" s="39">
        <v>10</v>
      </c>
      <c r="E31" s="39">
        <v>5</v>
      </c>
      <c r="F31" s="44" t="s">
        <v>67</v>
      </c>
    </row>
    <row r="32" spans="2:19" ht="15.75" customHeight="1" thickBot="1" x14ac:dyDescent="0.3">
      <c r="B32" s="54" t="s">
        <v>68</v>
      </c>
      <c r="C32" s="55" t="s">
        <v>69</v>
      </c>
      <c r="D32" s="40">
        <v>3</v>
      </c>
      <c r="E32" s="40">
        <v>2</v>
      </c>
      <c r="F32" s="45" t="s">
        <v>70</v>
      </c>
    </row>
    <row r="33" spans="2:11" ht="15.75" customHeight="1" x14ac:dyDescent="0.25"/>
    <row r="34" spans="2:11" ht="15.75" customHeight="1" x14ac:dyDescent="0.25"/>
    <row r="35" spans="2:11" ht="15.75" customHeight="1" x14ac:dyDescent="0.25"/>
    <row r="36" spans="2:11" ht="15.75" customHeight="1" x14ac:dyDescent="0.25">
      <c r="K36" s="66"/>
    </row>
    <row r="37" spans="2:11" ht="15.75" customHeight="1" x14ac:dyDescent="0.25">
      <c r="B37" s="32"/>
      <c r="D37" s="15"/>
      <c r="K37" s="66"/>
    </row>
    <row r="38" spans="2:11" ht="15.75" customHeight="1" x14ac:dyDescent="0.25">
      <c r="B38" s="32"/>
      <c r="D38" s="15"/>
      <c r="F38" s="15"/>
      <c r="K38" s="67"/>
    </row>
    <row r="39" spans="2:11" ht="15.75" customHeight="1" x14ac:dyDescent="0.25">
      <c r="B39" s="32"/>
      <c r="D39" s="15"/>
      <c r="F39" s="15"/>
    </row>
    <row r="40" spans="2:11" ht="15.75" customHeight="1" x14ac:dyDescent="0.25">
      <c r="E40" s="15"/>
      <c r="F40" s="15"/>
    </row>
    <row r="41" spans="2:11" ht="15.75" customHeight="1" x14ac:dyDescent="0.25"/>
    <row r="42" spans="2:11" ht="15.75" customHeight="1" x14ac:dyDescent="0.25"/>
    <row r="43" spans="2:11" ht="15.75" customHeight="1" x14ac:dyDescent="0.25"/>
    <row r="44" spans="2:11" ht="15.75" customHeight="1" x14ac:dyDescent="0.25"/>
    <row r="45" spans="2:11" ht="15.75" customHeight="1" x14ac:dyDescent="0.25"/>
    <row r="46" spans="2:11" ht="15.75" customHeight="1" x14ac:dyDescent="0.25"/>
    <row r="47" spans="2:11" ht="15.75" customHeight="1" x14ac:dyDescent="0.25"/>
    <row r="48" spans="2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12">
    <mergeCell ref="B29:C29"/>
    <mergeCell ref="M6:N6"/>
    <mergeCell ref="B6:C6"/>
    <mergeCell ref="B30:C30"/>
    <mergeCell ref="I6:J6"/>
    <mergeCell ref="K6:L6"/>
    <mergeCell ref="B7:B19"/>
    <mergeCell ref="B20:B22"/>
    <mergeCell ref="B23:B27"/>
    <mergeCell ref="B28:C28"/>
    <mergeCell ref="D28:F29"/>
    <mergeCell ref="A1:W3"/>
  </mergeCells>
  <pageMargins left="0.7" right="0.7" top="0.75" bottom="0.75" header="0" footer="0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2006-09-16T00:00:00Z</dcterms:created>
  <dcterms:modified xsi:type="dcterms:W3CDTF">2025-09-15T02:40:01Z</dcterms:modified>
</cp:coreProperties>
</file>