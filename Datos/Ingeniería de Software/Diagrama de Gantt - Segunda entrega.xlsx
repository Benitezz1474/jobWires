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3"/>
  </sheets>
  <definedNames/>
  <calcPr/>
</workbook>
</file>

<file path=xl/sharedStrings.xml><?xml version="1.0" encoding="utf-8"?>
<sst xmlns="http://schemas.openxmlformats.org/spreadsheetml/2006/main" count="456" uniqueCount="180">
  <si>
    <t>DIAGRAMA DE GANTT</t>
  </si>
  <si>
    <t>TÍTULO DEL PROYECTO</t>
  </si>
  <si>
    <t>JobWires</t>
  </si>
  <si>
    <t>NOMBRE DE LA EMPRESA</t>
  </si>
  <si>
    <t>ConceptualScripts</t>
  </si>
  <si>
    <t>RESPONSABLE DEL PROYECTO</t>
  </si>
  <si>
    <t>FECHA DE COMIENZO</t>
  </si>
  <si>
    <t>Nº de tarea</t>
  </si>
  <si>
    <t>TÍTULO DE LA TAREA</t>
  </si>
  <si>
    <t>RESPONSABLE DE LA TAREA</t>
  </si>
  <si>
    <t>FECHA DE INICIO</t>
  </si>
  <si>
    <t>FECHA DE FIN</t>
  </si>
  <si>
    <t>DURACIÓN</t>
  </si>
  <si>
    <t>DEPENDENCIAS</t>
  </si>
  <si>
    <t>% COMPLETADO 
DE LA TAREA</t>
  </si>
  <si>
    <t>Mayo</t>
  </si>
  <si>
    <t>Junio</t>
  </si>
  <si>
    <t>Julio</t>
  </si>
  <si>
    <t>Agosto</t>
  </si>
  <si>
    <t>Setiembre</t>
  </si>
  <si>
    <t>Octubre</t>
  </si>
  <si>
    <t>H</t>
  </si>
  <si>
    <t>D</t>
  </si>
  <si>
    <t>L</t>
  </si>
  <si>
    <t>M</t>
  </si>
  <si>
    <t>J</t>
  </si>
  <si>
    <t>V</t>
  </si>
  <si>
    <t>S</t>
  </si>
  <si>
    <t>Sprint 1</t>
  </si>
  <si>
    <t>Sprint 2</t>
  </si>
  <si>
    <t>Sprint 3</t>
  </si>
  <si>
    <t>Sprint 4</t>
  </si>
  <si>
    <t>Sprint 5</t>
  </si>
  <si>
    <t xml:space="preserve">Primera entrega </t>
  </si>
  <si>
    <t>Sprints de la primer entrega</t>
  </si>
  <si>
    <t xml:space="preserve">Análisis </t>
  </si>
  <si>
    <t>1.0</t>
  </si>
  <si>
    <t>Asignar roles</t>
  </si>
  <si>
    <t>Grupo</t>
  </si>
  <si>
    <t>1.1</t>
  </si>
  <si>
    <t>Eleccion del SCV (git)</t>
  </si>
  <si>
    <t>1.2</t>
  </si>
  <si>
    <t>Analisis del logo</t>
  </si>
  <si>
    <t>Elizabeth</t>
  </si>
  <si>
    <t>1.3</t>
  </si>
  <si>
    <t>Analisis del Sistema de archivos</t>
  </si>
  <si>
    <t>Fernando</t>
  </si>
  <si>
    <t>1.4</t>
  </si>
  <si>
    <t>Reglas y normas V1</t>
  </si>
  <si>
    <t>1.5</t>
  </si>
  <si>
    <t xml:space="preserve">Elección ciclo de vida </t>
  </si>
  <si>
    <t>Elizabeth - Fernando</t>
  </si>
  <si>
    <t>1.6</t>
  </si>
  <si>
    <t>Analisis del Ciclo de vida</t>
  </si>
  <si>
    <t>1.7</t>
  </si>
  <si>
    <t>Analizis del MER V1</t>
  </si>
  <si>
    <t>Elian</t>
  </si>
  <si>
    <t>1.8</t>
  </si>
  <si>
    <t>Analizis del MER V2</t>
  </si>
  <si>
    <t>MER V1</t>
  </si>
  <si>
    <t>1.9</t>
  </si>
  <si>
    <t>Analizis del MER V3</t>
  </si>
  <si>
    <t>Fernando - Leandro - Elizabeth - Elian</t>
  </si>
  <si>
    <t>MER V2</t>
  </si>
  <si>
    <t>1.10</t>
  </si>
  <si>
    <t>Analizis del MER V4</t>
  </si>
  <si>
    <t>Elian - Fernando - Elizabeth</t>
  </si>
  <si>
    <t>MER V3</t>
  </si>
  <si>
    <t>1.11</t>
  </si>
  <si>
    <t>Relevamiento de datos, Encuesta a Clientes (Usuario)</t>
  </si>
  <si>
    <t>1.12</t>
  </si>
  <si>
    <t>Relevamiento de datos, Entrevista al Cliente</t>
  </si>
  <si>
    <t>1.13</t>
  </si>
  <si>
    <t>ERS V1</t>
  </si>
  <si>
    <t>1.14</t>
  </si>
  <si>
    <t>ERS V2</t>
  </si>
  <si>
    <t>Elizabeth - Leandro</t>
  </si>
  <si>
    <t>1.15</t>
  </si>
  <si>
    <t>ERS V3</t>
  </si>
  <si>
    <t>1.16</t>
  </si>
  <si>
    <t>ERS V4</t>
  </si>
  <si>
    <t>1.17</t>
  </si>
  <si>
    <t>Pasaje a tablas</t>
  </si>
  <si>
    <t>DER</t>
  </si>
  <si>
    <t>1.18</t>
  </si>
  <si>
    <t>Diccionario de datos</t>
  </si>
  <si>
    <t>1.19</t>
  </si>
  <si>
    <t>Estudio de factibilidad</t>
  </si>
  <si>
    <t xml:space="preserve">Diseño </t>
  </si>
  <si>
    <t>2.0</t>
  </si>
  <si>
    <t>Desarrollo del logos</t>
  </si>
  <si>
    <t xml:space="preserve">Elizabeth </t>
  </si>
  <si>
    <t>2.1</t>
  </si>
  <si>
    <t>Paleta de color</t>
  </si>
  <si>
    <t>Leandro</t>
  </si>
  <si>
    <t>2.2</t>
  </si>
  <si>
    <t>Pagina busqueda</t>
  </si>
  <si>
    <t>Lucas</t>
  </si>
  <si>
    <t>2.3</t>
  </si>
  <si>
    <t>Pagina mensage</t>
  </si>
  <si>
    <t>2.4</t>
  </si>
  <si>
    <t>Pagina de configuración</t>
  </si>
  <si>
    <t>Implementacion</t>
  </si>
  <si>
    <t>3.0</t>
  </si>
  <si>
    <t>Desarrollar sistema de calificaciones</t>
  </si>
  <si>
    <t>3.1</t>
  </si>
  <si>
    <t>Desarrollar sistema de login/registro</t>
  </si>
  <si>
    <t>3.2</t>
  </si>
  <si>
    <t>Desarrollar sistema de captcha</t>
  </si>
  <si>
    <t>3.3</t>
  </si>
  <si>
    <t>Desarrollar encriptar contraseñas</t>
  </si>
  <si>
    <t>3.4</t>
  </si>
  <si>
    <t>Script de administrador de usuarios y grupos con validacion AMBLC</t>
  </si>
  <si>
    <t>3.5</t>
  </si>
  <si>
    <t>MER V4</t>
  </si>
  <si>
    <t xml:space="preserve">Testing </t>
  </si>
  <si>
    <t>4.0</t>
  </si>
  <si>
    <t>Validar formularios</t>
  </si>
  <si>
    <t>4.1</t>
  </si>
  <si>
    <t>Validar contraseñas</t>
  </si>
  <si>
    <t>4.2</t>
  </si>
  <si>
    <t>Verificar que  las contraseñas estén encriptadas</t>
  </si>
  <si>
    <t>4.3</t>
  </si>
  <si>
    <t>Verificar funcionalidades de la base de datos</t>
  </si>
  <si>
    <t>Fernando - Elian</t>
  </si>
  <si>
    <t>4.4</t>
  </si>
  <si>
    <t>Verificar funcionamiento del menú en Alma Linux</t>
  </si>
  <si>
    <t xml:space="preserve">Segunda entrega </t>
  </si>
  <si>
    <t>Sprints segunda entrega</t>
  </si>
  <si>
    <t>Sprint 6</t>
  </si>
  <si>
    <t>Sprint 7</t>
  </si>
  <si>
    <t>Sprint 8</t>
  </si>
  <si>
    <t>Sprint 9</t>
  </si>
  <si>
    <t>Análisis de MER V5</t>
  </si>
  <si>
    <t>Leandro - Fernando - Elizabeth</t>
  </si>
  <si>
    <t>Análisis de MER V6</t>
  </si>
  <si>
    <t>MER V5</t>
  </si>
  <si>
    <t>MER V6</t>
  </si>
  <si>
    <t>Reglas y normas V2</t>
  </si>
  <si>
    <t>Reglas y normas</t>
  </si>
  <si>
    <t>Documento de inicio y planificación</t>
  </si>
  <si>
    <t>Estructura de toma de decisiones y plan de acción</t>
  </si>
  <si>
    <t>Estudio comparativo Sistema Operativo Servidor - Terminal SO</t>
  </si>
  <si>
    <t>Roles y perfiles - niveles de acceso - descripción SO</t>
  </si>
  <si>
    <t>Documentación - tabla comparativa SO</t>
  </si>
  <si>
    <t>ERS V5</t>
  </si>
  <si>
    <t>Fundamentación de las elecciones de diseño</t>
  </si>
  <si>
    <t>Fundamentos de pensamiento basado en S.C.A.M.P.E.R</t>
  </si>
  <si>
    <t>Análisis RASCI</t>
  </si>
  <si>
    <t>Plan de marketing para el proyecto final</t>
  </si>
  <si>
    <t>Análisis y Gestión de Riesgos del Proyecto</t>
  </si>
  <si>
    <t>Identificación de amenazas específicas del sistema</t>
  </si>
  <si>
    <t>Posibles vulnerabilidades en infraestructura</t>
  </si>
  <si>
    <t>Políticas y medidas de seguridad</t>
  </si>
  <si>
    <t>Definición de políticas de contraseñas</t>
  </si>
  <si>
    <t>1.20</t>
  </si>
  <si>
    <t>Controles de acceso y roles de usuarios</t>
  </si>
  <si>
    <t>Métricas de Punto de Función</t>
  </si>
  <si>
    <t>Mockups</t>
  </si>
  <si>
    <t>Leandro - Lucas</t>
  </si>
  <si>
    <t>Pagina de publicación</t>
  </si>
  <si>
    <t>Diseño de casos de uso</t>
  </si>
  <si>
    <t>Desarrollar sistema de reserva</t>
  </si>
  <si>
    <t>Script de administrador de usuarios y grupos con validacion AMBLC SO</t>
  </si>
  <si>
    <t>Mejora de Script de administración con creación mediante skel SO</t>
  </si>
  <si>
    <t>Roles y perfiles - niveles de acceso - descripción de permisos SO</t>
  </si>
  <si>
    <t>Cambio guardados - registros - bajas / altas SO</t>
  </si>
  <si>
    <t>Datos de pruebas y pruebas de funcionamiento SO</t>
  </si>
  <si>
    <t>3.6</t>
  </si>
  <si>
    <t>Configuración del servicio SSH SO</t>
  </si>
  <si>
    <t>3.7</t>
  </si>
  <si>
    <t>Script de gestión de servicios del sistema SO</t>
  </si>
  <si>
    <t>3.8</t>
  </si>
  <si>
    <t>Procedimiento derespaldo y recuperación SO</t>
  </si>
  <si>
    <t>Scripts PHP</t>
  </si>
  <si>
    <t>Tercera entrega</t>
  </si>
  <si>
    <t>Sprint 10</t>
  </si>
  <si>
    <t>Sprint 11</t>
  </si>
  <si>
    <t>Sprint 12</t>
  </si>
  <si>
    <t>Sprint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</si>
</sst>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0 %"/>
    <numFmt numFmtId="166" formatCode="&quot;$&quot;#,##0.00"/>
    <numFmt numFmtId="167" formatCode="dd/mm/yy"/>
  </numFmts>
  <fonts count="49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5E2FDE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434343"/>
      <name val="Roboto"/>
    </font>
    <font>
      <sz val="10.0"/>
      <color rgb="FF000000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10.0"/>
      <color rgb="FFFFFFFF"/>
    </font>
    <font>
      <b/>
      <sz val="10.0"/>
      <color rgb="FFFFFFFF"/>
      <name val="Roboto"/>
    </font>
    <font>
      <sz val="11.0"/>
      <color rgb="FFFFFFFF"/>
      <name val="Roboto"/>
    </font>
    <font>
      <b/>
      <sz val="8.0"/>
      <name val="Roboto"/>
    </font>
    <font>
      <b/>
      <sz val="9.0"/>
      <color rgb="FF747474"/>
      <name val="Roboto"/>
    </font>
    <font>
      <b/>
      <sz val="9.0"/>
      <color rgb="FF434343"/>
      <name val="Roboto"/>
    </font>
    <font>
      <b/>
      <sz val="9.0"/>
      <color rgb="FFFFFFFF"/>
      <name val="Roboto"/>
    </font>
    <font>
      <b/>
      <sz val="9.0"/>
      <color rgb="FFF3F3F3"/>
      <name val="Roboto"/>
    </font>
    <font>
      <sz val="9.0"/>
      <name val="Roboto"/>
    </font>
    <font>
      <b/>
      <sz val="9.0"/>
      <color rgb="FF000000"/>
      <name val="Roboto"/>
    </font>
    <font>
      <b/>
      <sz val="10.0"/>
      <color rgb="FFEFEFEF"/>
      <name val="Roboto"/>
    </font>
    <font>
      <b/>
      <sz val="11.0"/>
      <color rgb="FF000000"/>
      <name val="Roboto"/>
    </font>
    <font>
      <b/>
      <sz val="11.0"/>
      <color rgb="FFF3F3F3"/>
      <name val="Roboto"/>
    </font>
    <font>
      <sz val="10.0"/>
      <name val="Roboto"/>
    </font>
    <font>
      <b/>
      <sz val="10.0"/>
      <color rgb="FF000000"/>
      <name val="Roboto"/>
    </font>
    <font>
      <b/>
      <sz val="10.0"/>
      <color rgb="FF00FF00"/>
      <name val="Roboto"/>
    </font>
    <font>
      <color rgb="FF434343"/>
      <name val="Roboto"/>
    </font>
    <font>
      <b/>
      <sz val="10.0"/>
      <name val="Roboto"/>
    </font>
    <font>
      <name val="Arial"/>
    </font>
    <font>
      <b/>
      <sz val="7.0"/>
      <color rgb="FF000000"/>
      <name val="Roboto"/>
    </font>
    <font>
      <sz val="5.0"/>
      <name val="Roboto"/>
    </font>
    <font>
      <b/>
      <sz val="11.0"/>
      <color rgb="FF666666"/>
      <name val="Roboto"/>
    </font>
    <font>
      <sz val="10.0"/>
      <color rgb="FF666666"/>
      <name val="Roboto"/>
    </font>
    <font>
      <b/>
      <sz val="11.0"/>
      <name val="Roboto"/>
    </font>
    <font>
      <color rgb="FF434343"/>
    </font>
    <font>
      <b/>
      <sz val="10.0"/>
      <color rgb="FFF3F3F3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5E2FDE"/>
        <bgColor rgb="FF5E2FDE"/>
      </patternFill>
    </fill>
    <fill>
      <patternFill patternType="solid">
        <fgColor rgb="FFFFFFFF"/>
        <bgColor rgb="FFFFFFFF"/>
      </patternFill>
    </fill>
    <fill>
      <patternFill patternType="solid">
        <fgColor rgb="FFBEA8EB"/>
        <bgColor rgb="FFBEA8EB"/>
      </patternFill>
    </fill>
    <fill>
      <patternFill patternType="solid">
        <fgColor rgb="FF7E50DC"/>
        <bgColor rgb="FF7E50DC"/>
      </patternFill>
    </fill>
    <fill>
      <patternFill patternType="solid">
        <fgColor rgb="FF280498"/>
        <bgColor rgb="FF280498"/>
      </patternFill>
    </fill>
    <fill>
      <patternFill patternType="solid">
        <fgColor rgb="FF8D64F6"/>
        <bgColor rgb="FF8D64F6"/>
      </patternFill>
    </fill>
    <fill>
      <patternFill patternType="solid">
        <fgColor rgb="FFD9D2E9"/>
        <bgColor rgb="FFD9D2E9"/>
      </patternFill>
    </fill>
    <fill>
      <patternFill patternType="solid">
        <fgColor rgb="FF3C0AD5"/>
        <bgColor rgb="FF3C0AD5"/>
      </patternFill>
    </fill>
    <fill>
      <patternFill patternType="solid">
        <fgColor rgb="FF747474"/>
        <bgColor rgb="FF747474"/>
      </patternFill>
    </fill>
    <fill>
      <patternFill patternType="solid">
        <fgColor rgb="FF73C79E"/>
        <bgColor rgb="FF73C79E"/>
      </patternFill>
    </fill>
    <fill>
      <patternFill patternType="solid">
        <fgColor rgb="FF666666"/>
        <bgColor rgb="FF666666"/>
      </patternFill>
    </fill>
  </fills>
  <borders count="33">
    <border/>
    <border>
      <bottom style="thick">
        <color rgb="FF5E2FDE"/>
      </bottom>
    </border>
    <border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bottom style="hair">
        <color rgb="FFB7B7B7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</border>
    <border>
      <left style="hair">
        <color rgb="FFB7B7B7"/>
      </left>
    </border>
    <border>
      <left style="hair">
        <color rgb="FFCCCCCC"/>
      </left>
      <right style="hair">
        <color rgb="FFCCCCCC"/>
      </right>
      <top style="hair">
        <color rgb="FFCCCCCC"/>
      </top>
    </border>
    <border>
      <right style="hair">
        <color rgb="FFB7B7B7"/>
      </right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bottom style="hair">
        <color rgb="FFB7B7B7"/>
      </bottom>
    </border>
    <border>
      <top style="dotted">
        <color rgb="FFB7B7B7"/>
      </top>
    </border>
    <border>
      <right style="dotted">
        <color rgb="FFB7B7B7"/>
      </right>
      <top style="dotted">
        <color rgb="FFB7B7B7"/>
      </top>
    </border>
    <border>
      <left style="hair">
        <color rgb="FFCCCCCC"/>
      </left>
      <top style="hair">
        <color rgb="FFCCCCCC"/>
      </top>
    </border>
    <border>
      <top style="hair">
        <color rgb="FFCCCCCC"/>
      </top>
    </border>
    <border>
      <right style="hair">
        <color rgb="FFCCCCCC"/>
      </right>
      <top style="hair">
        <color rgb="FFCCCCCC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3" fontId="3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3" fontId="5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3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3" fontId="9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3" fontId="1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0" fillId="0" fontId="12" numFmtId="0" xfId="0" applyAlignment="1" applyFont="1">
      <alignment horizontal="left"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3" fontId="17" numFmtId="0" xfId="0" applyAlignment="1" applyBorder="1" applyFont="1">
      <alignment readingOrder="0" shrinkToFit="0" vertical="center" wrapText="0"/>
    </xf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9" numFmtId="0" xfId="0" applyBorder="1" applyFont="1"/>
    <xf borderId="0" fillId="0" fontId="1" numFmtId="0" xfId="0" applyFont="1"/>
    <xf borderId="0" fillId="0" fontId="20" numFmtId="0" xfId="0" applyAlignment="1" applyFont="1">
      <alignment vertical="center"/>
    </xf>
    <xf borderId="0" fillId="3" fontId="21" numFmtId="0" xfId="0" applyAlignment="1" applyFont="1">
      <alignment shrinkToFit="0" vertical="center" wrapText="0"/>
    </xf>
    <xf borderId="0" fillId="3" fontId="21" numFmtId="0" xfId="0" applyAlignment="1" applyFon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0" fillId="4" fontId="22" numFmtId="0" xfId="0" applyAlignment="1" applyFill="1" applyFont="1">
      <alignment horizontal="left" readingOrder="0" shrinkToFit="0" vertical="center" wrapText="1"/>
    </xf>
    <xf borderId="0" fillId="4" fontId="22" numFmtId="0" xfId="0" applyAlignment="1" applyFont="1">
      <alignment horizontal="center" readingOrder="0" shrinkToFit="0" vertical="center" wrapText="1"/>
    </xf>
    <xf borderId="0" fillId="5" fontId="23" numFmtId="0" xfId="0" applyAlignment="1" applyFill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6" fontId="24" numFmtId="0" xfId="0" applyAlignment="1" applyFill="1" applyFont="1">
      <alignment horizontal="center" readingOrder="0" vertical="center"/>
    </xf>
    <xf borderId="0" fillId="7" fontId="24" numFmtId="0" xfId="0" applyAlignment="1" applyFill="1" applyFont="1">
      <alignment horizontal="center" readingOrder="0" vertical="center"/>
    </xf>
    <xf borderId="0" fillId="5" fontId="24" numFmtId="0" xfId="0" applyAlignment="1" applyFont="1">
      <alignment horizontal="center" readingOrder="0" vertical="center"/>
    </xf>
    <xf borderId="0" fillId="6" fontId="25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vertical="center"/>
    </xf>
    <xf borderId="3" fillId="8" fontId="27" numFmtId="0" xfId="0" applyAlignment="1" applyBorder="1" applyFill="1" applyFont="1">
      <alignment readingOrder="0" shrinkToFit="0" vertical="center" wrapText="0"/>
    </xf>
    <xf borderId="3" fillId="8" fontId="27" numFmtId="0" xfId="0" applyAlignment="1" applyBorder="1" applyFont="1">
      <alignment readingOrder="0" vertical="center"/>
    </xf>
    <xf borderId="3" fillId="8" fontId="28" numFmtId="0" xfId="0" applyAlignment="1" applyBorder="1" applyFont="1">
      <alignment horizontal="center" readingOrder="0" shrinkToFit="0" vertical="center" wrapText="0"/>
    </xf>
    <xf borderId="3" fillId="8" fontId="28" numFmtId="0" xfId="0" applyAlignment="1" applyBorder="1" applyFont="1">
      <alignment horizontal="center" shrinkToFit="0" vertical="center" wrapText="0"/>
    </xf>
    <xf borderId="4" fillId="9" fontId="29" numFmtId="0" xfId="0" applyAlignment="1" applyBorder="1" applyFill="1" applyFont="1">
      <alignment horizontal="center" readingOrder="0" shrinkToFit="0" vertical="center" wrapText="0"/>
    </xf>
    <xf borderId="5" fillId="8" fontId="28" numFmtId="0" xfId="0" applyAlignment="1" applyBorder="1" applyFont="1">
      <alignment horizontal="center" shrinkToFit="0" vertical="center" wrapText="0"/>
    </xf>
    <xf borderId="3" fillId="9" fontId="30" numFmtId="0" xfId="0" applyAlignment="1" applyBorder="1" applyFont="1">
      <alignment horizontal="center" shrinkToFit="0" vertical="center" wrapText="0"/>
    </xf>
    <xf borderId="5" fillId="9" fontId="30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31" numFmtId="0" xfId="0" applyAlignment="1" applyFont="1">
      <alignment vertical="center"/>
    </xf>
    <xf borderId="6" fillId="4" fontId="32" numFmtId="0" xfId="0" applyAlignment="1" applyBorder="1" applyFont="1">
      <alignment horizontal="center" readingOrder="0" shrinkToFit="0" vertical="center" wrapText="0"/>
    </xf>
    <xf borderId="6" fillId="0" fontId="8" numFmtId="0" xfId="0" applyBorder="1" applyFont="1"/>
    <xf borderId="6" fillId="9" fontId="30" numFmtId="0" xfId="0" applyAlignment="1" applyBorder="1" applyFont="1">
      <alignment horizontal="center" readingOrder="0" shrinkToFit="0" vertical="center" wrapText="0"/>
    </xf>
    <xf borderId="7" fillId="9" fontId="30" numFmtId="0" xfId="0" applyAlignment="1" applyBorder="1" applyFont="1">
      <alignment horizontal="center" readingOrder="0" shrinkToFit="0" vertical="center" wrapText="0"/>
    </xf>
    <xf borderId="0" fillId="0" fontId="32" numFmtId="0" xfId="0" applyAlignment="1" applyFont="1">
      <alignment horizontal="center" readingOrder="0" shrinkToFit="0" vertical="center" wrapText="0"/>
    </xf>
    <xf borderId="0" fillId="5" fontId="33" numFmtId="0" xfId="0" applyAlignment="1" applyFont="1">
      <alignment horizontal="center" readingOrder="0" shrinkToFit="0" vertical="center" wrapText="0"/>
    </xf>
    <xf borderId="8" fillId="0" fontId="8" numFmtId="0" xfId="0" applyBorder="1" applyFont="1"/>
    <xf borderId="0" fillId="7" fontId="33" numFmtId="0" xfId="0" applyAlignment="1" applyFont="1">
      <alignment horizontal="center" readingOrder="0" shrinkToFit="0" vertical="center" wrapText="0"/>
    </xf>
    <xf borderId="0" fillId="9" fontId="33" numFmtId="0" xfId="0" applyAlignment="1" applyFont="1">
      <alignment horizontal="center" readingOrder="0" shrinkToFit="0" vertical="center" wrapText="0"/>
    </xf>
    <xf borderId="9" fillId="0" fontId="8" numFmtId="0" xfId="0" applyBorder="1" applyFont="1"/>
    <xf borderId="9" fillId="0" fontId="34" numFmtId="0" xfId="0" applyAlignment="1" applyBorder="1" applyFont="1">
      <alignment horizontal="center" readingOrder="0" shrinkToFit="0" vertical="center" wrapText="0"/>
    </xf>
    <xf borderId="0" fillId="9" fontId="34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9" fontId="35" numFmtId="0" xfId="0" applyAlignment="1" applyFont="1">
      <alignment horizontal="left" readingOrder="0" shrinkToFit="0" vertical="center" wrapText="1"/>
    </xf>
    <xf borderId="0" fillId="9" fontId="35" numFmtId="0" xfId="0" applyAlignment="1" applyFont="1">
      <alignment horizontal="center" readingOrder="0" shrinkToFit="0" vertical="center" wrapText="0"/>
    </xf>
    <xf borderId="10" fillId="4" fontId="34" numFmtId="0" xfId="0" applyAlignment="1" applyBorder="1" applyFont="1">
      <alignment horizontal="left" readingOrder="0" shrinkToFit="0" vertical="center" wrapText="1"/>
    </xf>
    <xf borderId="10" fillId="4" fontId="34" numFmtId="0" xfId="0" applyAlignment="1" applyBorder="1" applyFont="1">
      <alignment readingOrder="0" shrinkToFit="0" vertical="center" wrapText="0"/>
    </xf>
    <xf borderId="10" fillId="0" fontId="8" numFmtId="0" xfId="0" applyBorder="1" applyFont="1"/>
    <xf borderId="0" fillId="4" fontId="34" numFmtId="0" xfId="0" applyAlignment="1" applyFont="1">
      <alignment horizontal="center" readingOrder="0" shrinkToFit="0" vertical="center" wrapText="0"/>
    </xf>
    <xf borderId="9" fillId="0" fontId="20" numFmtId="0" xfId="0" applyAlignment="1" applyBorder="1" applyFont="1">
      <alignment vertical="center"/>
    </xf>
    <xf borderId="0" fillId="9" fontId="20" numFmtId="0" xfId="0" applyAlignment="1" applyFont="1">
      <alignment vertical="center"/>
    </xf>
    <xf borderId="0" fillId="0" fontId="36" numFmtId="0" xfId="0" applyAlignment="1" applyFont="1">
      <alignment vertical="center"/>
    </xf>
    <xf borderId="11" fillId="0" fontId="17" numFmtId="0" xfId="0" applyAlignment="1" applyBorder="1" applyFont="1">
      <alignment horizontal="left" readingOrder="0" shrinkToFit="0" vertical="center" wrapText="1"/>
    </xf>
    <xf borderId="11" fillId="0" fontId="17" numFmtId="0" xfId="0" applyAlignment="1" applyBorder="1" applyFont="1">
      <alignment readingOrder="0" shrinkToFit="0" vertical="center" wrapText="1"/>
    </xf>
    <xf borderId="11" fillId="0" fontId="17" numFmtId="164" xfId="0" applyAlignment="1" applyBorder="1" applyFont="1" applyNumberFormat="1">
      <alignment horizontal="left" readingOrder="0" shrinkToFit="0" vertical="center" wrapText="1"/>
    </xf>
    <xf borderId="11" fillId="0" fontId="17" numFmtId="0" xfId="0" applyAlignment="1" applyBorder="1" applyFont="1">
      <alignment horizontal="center" readingOrder="0" shrinkToFit="0" vertical="center" wrapText="1"/>
    </xf>
    <xf borderId="11" fillId="0" fontId="17" numFmtId="165" xfId="0" applyAlignment="1" applyBorder="1" applyFont="1" applyNumberFormat="1">
      <alignment horizontal="center" readingOrder="0" shrinkToFit="0" vertical="center" wrapText="1"/>
    </xf>
    <xf borderId="12" fillId="10" fontId="37" numFmtId="9" xfId="0" applyAlignment="1" applyBorder="1" applyFill="1" applyFont="1" applyNumberFormat="1">
      <alignment horizontal="center" shrinkToFit="0" vertical="center" wrapText="0"/>
    </xf>
    <xf borderId="13" fillId="0" fontId="37" numFmtId="166" xfId="0" applyAlignment="1" applyBorder="1" applyFont="1" applyNumberFormat="1">
      <alignment horizontal="center" shrinkToFit="0" vertical="center" wrapText="0"/>
    </xf>
    <xf borderId="13" fillId="0" fontId="37" numFmtId="0" xfId="0" applyAlignment="1" applyBorder="1" applyFont="1">
      <alignment horizontal="center" shrinkToFit="0" vertical="center" wrapText="0"/>
    </xf>
    <xf borderId="14" fillId="0" fontId="37" numFmtId="0" xfId="0" applyAlignment="1" applyBorder="1" applyFont="1">
      <alignment horizontal="center" shrinkToFit="0" vertical="center" wrapText="0"/>
    </xf>
    <xf borderId="15" fillId="0" fontId="37" numFmtId="0" xfId="0" applyAlignment="1" applyBorder="1" applyFont="1">
      <alignment horizontal="center" shrinkToFit="0" vertical="center" wrapText="0"/>
    </xf>
    <xf borderId="15" fillId="0" fontId="37" numFmtId="9" xfId="0" applyAlignment="1" applyBorder="1" applyFont="1" applyNumberFormat="1">
      <alignment horizontal="center" shrinkToFit="0" vertical="center" wrapText="0"/>
    </xf>
    <xf borderId="16" fillId="0" fontId="37" numFmtId="166" xfId="0" applyAlignment="1" applyBorder="1" applyFont="1" applyNumberFormat="1">
      <alignment horizontal="center" shrinkToFit="0" vertical="center" wrapText="0"/>
    </xf>
    <xf borderId="13" fillId="0" fontId="37" numFmtId="0" xfId="0" applyAlignment="1" applyBorder="1" applyFont="1">
      <alignment horizontal="center" shrinkToFit="0" vertical="center" wrapText="0"/>
    </xf>
    <xf borderId="13" fillId="9" fontId="37" numFmtId="0" xfId="0" applyAlignment="1" applyBorder="1" applyFont="1">
      <alignment horizontal="center" shrinkToFit="0" vertical="center" wrapText="0"/>
    </xf>
    <xf borderId="17" fillId="0" fontId="37" numFmtId="0" xfId="0" applyAlignment="1" applyBorder="1" applyFont="1">
      <alignment horizontal="center" shrinkToFit="0" vertical="center" wrapText="0"/>
    </xf>
    <xf borderId="9" fillId="0" fontId="36" numFmtId="0" xfId="0" applyAlignment="1" applyBorder="1" applyFont="1">
      <alignment vertical="center"/>
    </xf>
    <xf borderId="0" fillId="9" fontId="36" numFmtId="0" xfId="0" applyAlignment="1" applyFont="1">
      <alignment vertical="center"/>
    </xf>
    <xf borderId="11" fillId="0" fontId="17" numFmtId="167" xfId="0" applyAlignment="1" applyBorder="1" applyFont="1" applyNumberFormat="1">
      <alignment horizontal="left" readingOrder="0" shrinkToFit="0" vertical="center" wrapText="1"/>
    </xf>
    <xf borderId="12" fillId="10" fontId="38" numFmtId="9" xfId="0" applyAlignment="1" applyBorder="1" applyFont="1" applyNumberFormat="1">
      <alignment horizontal="center" shrinkToFit="0" vertical="center" wrapText="0"/>
    </xf>
    <xf borderId="13" fillId="0" fontId="38" numFmtId="166" xfId="0" applyAlignment="1" applyBorder="1" applyFont="1" applyNumberFormat="1">
      <alignment horizontal="center" shrinkToFit="0" vertical="center" wrapText="0"/>
    </xf>
    <xf borderId="17" fillId="3" fontId="38" numFmtId="0" xfId="0" applyAlignment="1" applyBorder="1" applyFont="1">
      <alignment horizontal="center" shrinkToFit="0" vertical="center" wrapText="0"/>
    </xf>
    <xf borderId="18" fillId="3" fontId="38" numFmtId="0" xfId="0" applyAlignment="1" applyBorder="1" applyFont="1">
      <alignment horizontal="center" shrinkToFit="0" vertical="center" wrapText="0"/>
    </xf>
    <xf borderId="19" fillId="0" fontId="38" numFmtId="0" xfId="0" applyAlignment="1" applyBorder="1" applyFont="1">
      <alignment horizontal="center" shrinkToFit="0" vertical="center" wrapText="0"/>
    </xf>
    <xf borderId="19" fillId="0" fontId="38" numFmtId="9" xfId="0" applyAlignment="1" applyBorder="1" applyFont="1" applyNumberFormat="1">
      <alignment horizontal="center" shrinkToFit="0" vertical="center" wrapText="0"/>
    </xf>
    <xf borderId="20" fillId="0" fontId="38" numFmtId="166" xfId="0" applyAlignment="1" applyBorder="1" applyFont="1" applyNumberFormat="1">
      <alignment horizontal="center" shrinkToFit="0" vertical="center" wrapText="0"/>
    </xf>
    <xf borderId="13" fillId="0" fontId="38" numFmtId="0" xfId="0" applyAlignment="1" applyBorder="1" applyFont="1">
      <alignment horizontal="center" shrinkToFit="0" vertical="center" wrapText="0"/>
    </xf>
    <xf borderId="13" fillId="0" fontId="38" numFmtId="0" xfId="0" applyAlignment="1" applyBorder="1" applyFont="1">
      <alignment horizontal="center" shrinkToFit="0" vertical="center" wrapText="0"/>
    </xf>
    <xf borderId="14" fillId="0" fontId="37" numFmtId="0" xfId="0" applyAlignment="1" applyBorder="1" applyFont="1">
      <alignment horizontal="center" shrinkToFit="0" vertical="center" wrapText="0"/>
    </xf>
    <xf borderId="9" fillId="0" fontId="37" numFmtId="0" xfId="0" applyAlignment="1" applyBorder="1" applyFont="1">
      <alignment horizontal="center" shrinkToFit="0" vertical="center" wrapText="0"/>
    </xf>
    <xf borderId="16" fillId="0" fontId="37" numFmtId="0" xfId="0" applyAlignment="1" applyBorder="1" applyFont="1">
      <alignment horizontal="center" shrinkToFit="0" vertical="center" wrapText="0"/>
    </xf>
    <xf borderId="21" fillId="10" fontId="38" numFmtId="9" xfId="0" applyAlignment="1" applyBorder="1" applyFont="1" applyNumberFormat="1">
      <alignment horizontal="center" shrinkToFit="0" vertical="center" wrapText="0"/>
    </xf>
    <xf borderId="22" fillId="10" fontId="38" numFmtId="166" xfId="0" applyAlignment="1" applyBorder="1" applyFont="1" applyNumberFormat="1">
      <alignment horizontal="center" shrinkToFit="0" vertical="center" wrapText="0"/>
    </xf>
    <xf borderId="23" fillId="10" fontId="38" numFmtId="0" xfId="0" applyAlignment="1" applyBorder="1" applyFont="1">
      <alignment horizontal="center" shrinkToFit="0" vertical="center" wrapText="0"/>
    </xf>
    <xf borderId="23" fillId="10" fontId="38" numFmtId="0" xfId="0" applyAlignment="1" applyBorder="1" applyFont="1">
      <alignment horizontal="center" shrinkToFit="0" vertical="center" wrapText="0"/>
    </xf>
    <xf borderId="23" fillId="10" fontId="38" numFmtId="9" xfId="0" applyAlignment="1" applyBorder="1" applyFont="1" applyNumberFormat="1">
      <alignment horizontal="center" shrinkToFit="0" vertical="center" wrapText="0"/>
    </xf>
    <xf borderId="23" fillId="10" fontId="38" numFmtId="166" xfId="0" applyAlignment="1" applyBorder="1" applyFont="1" applyNumberFormat="1">
      <alignment horizontal="center" shrinkToFit="0" vertical="center" wrapText="0"/>
    </xf>
    <xf borderId="24" fillId="10" fontId="38" numFmtId="0" xfId="0" applyAlignment="1" applyBorder="1" applyFont="1">
      <alignment horizontal="center" shrinkToFit="0" vertical="center" wrapText="0"/>
    </xf>
    <xf borderId="9" fillId="10" fontId="38" numFmtId="0" xfId="0" applyAlignment="1" applyBorder="1" applyFont="1">
      <alignment horizontal="center" shrinkToFit="0" vertical="center" wrapText="0"/>
    </xf>
    <xf borderId="9" fillId="10" fontId="38" numFmtId="0" xfId="0" applyAlignment="1" applyBorder="1" applyFont="1">
      <alignment horizontal="center" shrinkToFit="0" vertical="center" wrapText="0"/>
    </xf>
    <xf borderId="9" fillId="10" fontId="37" numFmtId="0" xfId="0" applyAlignment="1" applyBorder="1" applyFont="1">
      <alignment horizontal="center" shrinkToFit="0" vertical="center" wrapText="0"/>
    </xf>
    <xf borderId="9" fillId="9" fontId="37" numFmtId="0" xfId="0" applyAlignment="1" applyBorder="1" applyFont="1">
      <alignment horizontal="center" shrinkToFit="0" vertical="center" wrapText="0"/>
    </xf>
    <xf borderId="22" fillId="0" fontId="37" numFmtId="0" xfId="0" applyAlignment="1" applyBorder="1" applyFont="1">
      <alignment horizontal="center" shrinkToFit="0" vertical="center" wrapText="0"/>
    </xf>
    <xf borderId="24" fillId="0" fontId="37" numFmtId="0" xfId="0" applyAlignment="1" applyBorder="1" applyFont="1">
      <alignment horizontal="center" shrinkToFit="0" vertical="center" wrapText="0"/>
    </xf>
    <xf borderId="21" fillId="10" fontId="37" numFmtId="9" xfId="0" applyAlignment="1" applyBorder="1" applyFont="1" applyNumberFormat="1">
      <alignment horizontal="center" shrinkToFit="0" vertical="center" wrapText="0"/>
    </xf>
    <xf borderId="22" fillId="10" fontId="37" numFmtId="166" xfId="0" applyAlignment="1" applyBorder="1" applyFont="1" applyNumberFormat="1">
      <alignment horizontal="center" shrinkToFit="0" vertical="center" wrapText="0"/>
    </xf>
    <xf borderId="23" fillId="10" fontId="37" numFmtId="0" xfId="0" applyAlignment="1" applyBorder="1" applyFont="1">
      <alignment horizontal="center" shrinkToFit="0" vertical="center" wrapText="0"/>
    </xf>
    <xf borderId="23" fillId="10" fontId="37" numFmtId="0" xfId="0" applyAlignment="1" applyBorder="1" applyFont="1">
      <alignment horizontal="center" shrinkToFit="0" vertical="center" wrapText="0"/>
    </xf>
    <xf borderId="23" fillId="10" fontId="37" numFmtId="9" xfId="0" applyAlignment="1" applyBorder="1" applyFont="1" applyNumberFormat="1">
      <alignment horizontal="center" shrinkToFit="0" vertical="center" wrapText="0"/>
    </xf>
    <xf borderId="23" fillId="10" fontId="37" numFmtId="166" xfId="0" applyAlignment="1" applyBorder="1" applyFont="1" applyNumberFormat="1">
      <alignment horizontal="center" shrinkToFit="0" vertical="center" wrapText="0"/>
    </xf>
    <xf borderId="24" fillId="10" fontId="37" numFmtId="0" xfId="0" applyAlignment="1" applyBorder="1" applyFont="1">
      <alignment horizontal="center" shrinkToFit="0" vertical="center" wrapText="0"/>
    </xf>
    <xf borderId="9" fillId="10" fontId="37" numFmtId="0" xfId="0" applyAlignment="1" applyBorder="1" applyFont="1">
      <alignment horizontal="center" shrinkToFit="0" vertical="center" wrapText="0"/>
    </xf>
    <xf borderId="9" fillId="3" fontId="37" numFmtId="0" xfId="0" applyAlignment="1" applyBorder="1" applyFont="1">
      <alignment horizontal="center" shrinkToFit="0" vertical="center" wrapText="0"/>
    </xf>
    <xf borderId="25" fillId="0" fontId="39" numFmtId="167" xfId="0" applyAlignment="1" applyBorder="1" applyFont="1" applyNumberFormat="1">
      <alignment horizontal="left" readingOrder="0" shrinkToFit="0" wrapText="1"/>
    </xf>
    <xf borderId="24" fillId="10" fontId="37" numFmtId="9" xfId="0" applyAlignment="1" applyBorder="1" applyFont="1" applyNumberFormat="1">
      <alignment horizontal="center" shrinkToFit="0" vertical="center" wrapText="0"/>
    </xf>
    <xf borderId="9" fillId="10" fontId="37" numFmtId="9" xfId="0" applyAlignment="1" applyBorder="1" applyFont="1" applyNumberFormat="1">
      <alignment horizontal="center" shrinkToFit="0" vertical="center" wrapText="0"/>
    </xf>
    <xf borderId="9" fillId="10" fontId="37" numFmtId="166" xfId="0" applyAlignment="1" applyBorder="1" applyFont="1" applyNumberFormat="1">
      <alignment horizontal="center" shrinkToFit="0" vertical="center" wrapText="0"/>
    </xf>
    <xf borderId="13" fillId="10" fontId="37" numFmtId="0" xfId="0" applyAlignment="1" applyBorder="1" applyFont="1">
      <alignment horizontal="center" shrinkToFit="0" vertical="center" wrapText="0"/>
    </xf>
    <xf borderId="13" fillId="10" fontId="37" numFmtId="0" xfId="0" applyAlignment="1" applyBorder="1" applyFont="1">
      <alignment horizontal="center" shrinkToFit="0" vertical="center" wrapText="0"/>
    </xf>
    <xf borderId="13" fillId="10" fontId="37" numFmtId="9" xfId="0" applyAlignment="1" applyBorder="1" applyFont="1" applyNumberFormat="1">
      <alignment horizontal="center" shrinkToFit="0" vertical="center" wrapText="0"/>
    </xf>
    <xf borderId="13" fillId="10" fontId="37" numFmtId="166" xfId="0" applyAlignment="1" applyBorder="1" applyFont="1" applyNumberFormat="1">
      <alignment horizontal="center" shrinkToFit="0" vertical="center" wrapText="0"/>
    </xf>
    <xf borderId="11" fillId="11" fontId="17" numFmtId="165" xfId="0" applyAlignment="1" applyBorder="1" applyFill="1" applyFont="1" applyNumberFormat="1">
      <alignment horizontal="center" readingOrder="0" shrinkToFit="0" vertical="center" wrapText="1"/>
    </xf>
    <xf borderId="9" fillId="0" fontId="37" numFmtId="9" xfId="0" applyAlignment="1" applyBorder="1" applyFont="1" applyNumberFormat="1">
      <alignment horizontal="center" shrinkToFit="0" vertical="center" wrapText="0"/>
    </xf>
    <xf borderId="9" fillId="0" fontId="37" numFmtId="166" xfId="0" applyAlignment="1" applyBorder="1" applyFont="1" applyNumberFormat="1">
      <alignment horizontal="center" shrinkToFit="0" vertical="center" wrapText="0"/>
    </xf>
    <xf borderId="9" fillId="0" fontId="37" numFmtId="0" xfId="0" applyAlignment="1" applyBorder="1" applyFont="1">
      <alignment horizontal="center" shrinkToFit="0" vertical="center" wrapText="0"/>
    </xf>
    <xf borderId="11" fillId="0" fontId="39" numFmtId="164" xfId="0" applyAlignment="1" applyBorder="1" applyFont="1" applyNumberFormat="1">
      <alignment horizontal="left" readingOrder="0" shrinkToFit="0" wrapText="1"/>
    </xf>
    <xf borderId="9" fillId="12" fontId="37" numFmtId="0" xfId="0" applyAlignment="1" applyBorder="1" applyFill="1" applyFont="1">
      <alignment horizontal="center" shrinkToFit="0" vertical="center" wrapText="0"/>
    </xf>
    <xf borderId="9" fillId="10" fontId="40" numFmtId="0" xfId="0" applyAlignment="1" applyBorder="1" applyFont="1">
      <alignment horizontal="center" shrinkToFit="0" vertical="center" wrapText="0"/>
    </xf>
    <xf borderId="13" fillId="0" fontId="41" numFmtId="0" xfId="0" applyBorder="1" applyFont="1"/>
    <xf borderId="17" fillId="10" fontId="37" numFmtId="166" xfId="0" applyAlignment="1" applyBorder="1" applyFont="1" applyNumberFormat="1">
      <alignment horizontal="center" shrinkToFit="0" vertical="center" wrapText="0"/>
    </xf>
    <xf borderId="17" fillId="10" fontId="37" numFmtId="0" xfId="0" applyAlignment="1" applyBorder="1" applyFont="1">
      <alignment horizontal="center" shrinkToFit="0" vertical="center" wrapText="0"/>
    </xf>
    <xf borderId="16" fillId="0" fontId="41" numFmtId="0" xfId="0" applyBorder="1" applyFont="1"/>
    <xf borderId="21" fillId="0" fontId="37" numFmtId="9" xfId="0" applyAlignment="1" applyBorder="1" applyFont="1" applyNumberFormat="1">
      <alignment horizontal="center" shrinkToFit="0" vertical="center" wrapText="0"/>
    </xf>
    <xf borderId="9" fillId="10" fontId="41" numFmtId="0" xfId="0" applyBorder="1" applyFont="1"/>
    <xf borderId="24" fillId="10" fontId="41" numFmtId="0" xfId="0" applyBorder="1" applyFont="1"/>
    <xf borderId="9" fillId="0" fontId="41" numFmtId="0" xfId="0" applyBorder="1" applyFont="1"/>
    <xf borderId="24" fillId="0" fontId="41" numFmtId="0" xfId="0" applyBorder="1" applyFont="1"/>
    <xf borderId="0" fillId="4" fontId="34" numFmtId="0" xfId="0" applyAlignment="1" applyFont="1">
      <alignment horizontal="center" shrinkToFit="0" vertical="center" wrapText="0"/>
    </xf>
    <xf borderId="11" fillId="3" fontId="39" numFmtId="0" xfId="0" applyAlignment="1" applyBorder="1" applyFont="1">
      <alignment readingOrder="0" shrinkToFit="0" wrapText="0"/>
    </xf>
    <xf borderId="13" fillId="9" fontId="37" numFmtId="0" xfId="0" applyAlignment="1" applyBorder="1" applyFont="1">
      <alignment horizontal="center" shrinkToFit="0" vertical="center" wrapText="0"/>
    </xf>
    <xf borderId="9" fillId="0" fontId="38" numFmtId="9" xfId="0" applyAlignment="1" applyBorder="1" applyFont="1" applyNumberFormat="1">
      <alignment horizontal="center" shrinkToFit="0" vertical="center" wrapText="0"/>
    </xf>
    <xf borderId="9" fillId="10" fontId="18" numFmtId="0" xfId="0" applyAlignment="1" applyBorder="1" applyFont="1">
      <alignment horizontal="center" shrinkToFit="0" vertical="center" wrapText="0"/>
    </xf>
    <xf borderId="9" fillId="9" fontId="18" numFmtId="0" xfId="0" applyAlignment="1" applyBorder="1" applyFont="1">
      <alignment horizontal="center" shrinkToFit="0" vertical="center" wrapText="0"/>
    </xf>
    <xf borderId="12" fillId="0" fontId="37" numFmtId="9" xfId="0" applyAlignment="1" applyBorder="1" applyFont="1" applyNumberFormat="1">
      <alignment horizontal="center" shrinkToFit="0" vertical="center" wrapText="0"/>
    </xf>
    <xf borderId="0" fillId="9" fontId="37" numFmtId="0" xfId="0" applyAlignment="1" applyFont="1">
      <alignment horizontal="center" shrinkToFit="0" vertical="center" wrapText="0"/>
    </xf>
    <xf borderId="0" fillId="5" fontId="8" numFmtId="0" xfId="0" applyFont="1"/>
    <xf borderId="0" fillId="5" fontId="34" numFmtId="0" xfId="0" applyAlignment="1" applyFont="1">
      <alignment horizontal="center" readingOrder="0" shrinkToFit="0" vertical="center" wrapText="0"/>
    </xf>
    <xf borderId="20" fillId="9" fontId="34" numFmtId="0" xfId="0" applyAlignment="1" applyBorder="1" applyFont="1">
      <alignment horizontal="center" readingOrder="0" shrinkToFit="0" vertical="center" wrapText="0"/>
    </xf>
    <xf borderId="26" fillId="2" fontId="24" numFmtId="0" xfId="0" applyAlignment="1" applyBorder="1" applyFont="1">
      <alignment horizontal="center" readingOrder="0" shrinkToFit="0" vertical="center" wrapText="0"/>
    </xf>
    <xf borderId="26" fillId="0" fontId="8" numFmtId="0" xfId="0" applyBorder="1" applyFont="1"/>
    <xf borderId="27" fillId="0" fontId="8" numFmtId="0" xfId="0" applyBorder="1" applyFont="1"/>
    <xf borderId="28" fillId="4" fontId="37" numFmtId="9" xfId="0" applyAlignment="1" applyBorder="1" applyFont="1" applyNumberFormat="1">
      <alignment horizontal="center" shrinkToFit="0" vertical="center" wrapText="0"/>
    </xf>
    <xf borderId="29" fillId="0" fontId="8" numFmtId="0" xfId="0" applyBorder="1" applyFont="1"/>
    <xf borderId="20" fillId="0" fontId="8" numFmtId="0" xfId="0" applyBorder="1" applyFont="1"/>
    <xf borderId="29" fillId="4" fontId="37" numFmtId="9" xfId="0" applyAlignment="1" applyBorder="1" applyFont="1" applyNumberFormat="1">
      <alignment horizontal="center" shrinkToFit="0" vertical="center" wrapText="0"/>
    </xf>
    <xf borderId="30" fillId="4" fontId="37" numFmtId="9" xfId="0" applyAlignment="1" applyBorder="1" applyFont="1" applyNumberFormat="1">
      <alignment horizontal="center" shrinkToFit="0" vertical="center" wrapText="0"/>
    </xf>
    <xf borderId="11" fillId="0" fontId="17" numFmtId="167" xfId="0" applyAlignment="1" applyBorder="1" applyFont="1" applyNumberFormat="1">
      <alignment horizontal="center" readingOrder="0" shrinkToFit="0" vertical="center" wrapText="1"/>
    </xf>
    <xf borderId="31" fillId="9" fontId="36" numFmtId="0" xfId="0" applyAlignment="1" applyBorder="1" applyFont="1">
      <alignment vertical="center"/>
    </xf>
    <xf borderId="9" fillId="10" fontId="36" numFmtId="0" xfId="0" applyAlignment="1" applyBorder="1" applyFont="1">
      <alignment vertical="center"/>
    </xf>
    <xf borderId="20" fillId="9" fontId="33" numFmtId="0" xfId="0" applyAlignment="1" applyBorder="1" applyFont="1">
      <alignment horizontal="center" readingOrder="0" shrinkToFit="0" vertical="center" wrapText="0"/>
    </xf>
    <xf borderId="9" fillId="0" fontId="42" numFmtId="0" xfId="0" applyAlignment="1" applyBorder="1" applyFont="1">
      <alignment horizontal="left" readingOrder="0" shrinkToFit="0" vertical="center" wrapText="0"/>
    </xf>
    <xf borderId="17" fillId="0" fontId="8" numFmtId="0" xfId="0" applyBorder="1" applyFont="1"/>
    <xf borderId="9" fillId="0" fontId="43" numFmtId="0" xfId="0" applyAlignment="1" applyBorder="1" applyFont="1">
      <alignment readingOrder="0" vertical="center"/>
    </xf>
    <xf borderId="11" fillId="0" fontId="39" numFmtId="0" xfId="0" applyAlignment="1" applyBorder="1" applyFont="1">
      <alignment readingOrder="0" shrinkToFit="0" wrapText="1"/>
    </xf>
    <xf borderId="31" fillId="0" fontId="37" numFmtId="9" xfId="0" applyAlignment="1" applyBorder="1" applyFont="1" applyNumberFormat="1">
      <alignment horizontal="center" shrinkToFit="0" vertical="center" wrapText="0"/>
    </xf>
    <xf borderId="31" fillId="0" fontId="37" numFmtId="166" xfId="0" applyAlignment="1" applyBorder="1" applyFont="1" applyNumberFormat="1">
      <alignment horizontal="center" shrinkToFit="0" vertical="center" wrapText="0"/>
    </xf>
    <xf borderId="31" fillId="0" fontId="37" numFmtId="0" xfId="0" applyAlignment="1" applyBorder="1" applyFont="1">
      <alignment horizontal="center" shrinkToFit="0" vertical="center" wrapText="0"/>
    </xf>
    <xf borderId="31" fillId="0" fontId="37" numFmtId="0" xfId="0" applyAlignment="1" applyBorder="1" applyFont="1">
      <alignment horizontal="center" shrinkToFit="0" vertical="center" wrapText="0"/>
    </xf>
    <xf borderId="31" fillId="0" fontId="34" numFmtId="0" xfId="0" applyAlignment="1" applyBorder="1" applyFont="1">
      <alignment horizontal="center" readingOrder="0" shrinkToFit="0" vertical="center" wrapText="0"/>
    </xf>
    <xf borderId="31" fillId="0" fontId="36" numFmtId="0" xfId="0" applyAlignment="1" applyBorder="1" applyFont="1">
      <alignment vertical="center"/>
    </xf>
    <xf borderId="31" fillId="10" fontId="36" numFmtId="0" xfId="0" applyAlignment="1" applyBorder="1" applyFont="1">
      <alignment vertical="center"/>
    </xf>
    <xf borderId="9" fillId="10" fontId="34" numFmtId="0" xfId="0" applyAlignment="1" applyBorder="1" applyFont="1">
      <alignment horizontal="center" readingOrder="0" shrinkToFit="0" vertical="center" wrapText="0"/>
    </xf>
    <xf borderId="9" fillId="10" fontId="43" numFmtId="0" xfId="0" applyAlignment="1" applyBorder="1" applyFont="1">
      <alignment readingOrder="0" vertical="center"/>
    </xf>
    <xf borderId="0" fillId="10" fontId="8" numFmtId="0" xfId="0" applyFont="1"/>
    <xf borderId="31" fillId="10" fontId="34" numFmtId="0" xfId="0" applyAlignment="1" applyBorder="1" applyFont="1">
      <alignment horizontal="center" readingOrder="0" shrinkToFit="0" vertical="center" wrapText="0"/>
    </xf>
    <xf borderId="31" fillId="0" fontId="41" numFmtId="0" xfId="0" applyBorder="1" applyFont="1"/>
    <xf borderId="31" fillId="0" fontId="41" numFmtId="0" xfId="0" applyBorder="1" applyFont="1"/>
    <xf borderId="10" fillId="4" fontId="34" numFmtId="0" xfId="0" applyBorder="1" applyFont="1"/>
    <xf borderId="28" fillId="4" fontId="41" numFmtId="9" xfId="0" applyBorder="1" applyFont="1" applyNumberFormat="1"/>
    <xf borderId="29" fillId="4" fontId="41" numFmtId="9" xfId="0" applyBorder="1" applyFont="1" applyNumberFormat="1"/>
    <xf borderId="30" fillId="0" fontId="8" numFmtId="0" xfId="0" applyBorder="1" applyFont="1"/>
    <xf borderId="11" fillId="0" fontId="17" numFmtId="167" xfId="0" applyAlignment="1" applyBorder="1" applyFont="1" applyNumberFormat="1">
      <alignment readingOrder="0" shrinkToFit="0" vertical="center" wrapText="1"/>
    </xf>
    <xf borderId="9" fillId="10" fontId="44" numFmtId="0" xfId="0" applyAlignment="1" applyBorder="1" applyFont="1">
      <alignment horizontal="center" readingOrder="0" shrinkToFit="0" vertical="center" wrapText="0"/>
    </xf>
    <xf borderId="9" fillId="10" fontId="45" numFmtId="0" xfId="0" applyAlignment="1" applyBorder="1" applyFont="1">
      <alignment vertical="center"/>
    </xf>
    <xf borderId="9" fillId="10" fontId="20" numFmtId="0" xfId="0" applyAlignment="1" applyBorder="1" applyFont="1">
      <alignment vertical="center"/>
    </xf>
    <xf borderId="31" fillId="0" fontId="20" numFmtId="0" xfId="0" applyAlignment="1" applyBorder="1" applyFont="1">
      <alignment vertical="center"/>
    </xf>
    <xf borderId="31" fillId="10" fontId="46" numFmtId="0" xfId="0" applyAlignment="1" applyBorder="1" applyFont="1">
      <alignment vertical="center"/>
    </xf>
    <xf borderId="31" fillId="10" fontId="20" numFmtId="0" xfId="0" applyAlignment="1" applyBorder="1" applyFont="1">
      <alignment vertical="center"/>
    </xf>
    <xf borderId="11" fillId="0" fontId="47" numFmtId="0" xfId="0" applyAlignment="1" applyBorder="1" applyFont="1">
      <alignment readingOrder="0"/>
    </xf>
    <xf borderId="22" fillId="9" fontId="20" numFmtId="0" xfId="0" applyAlignment="1" applyBorder="1" applyFont="1">
      <alignment vertical="center"/>
    </xf>
    <xf borderId="32" fillId="0" fontId="8" numFmtId="0" xfId="0" applyBorder="1" applyFont="1"/>
    <xf borderId="24" fillId="0" fontId="8" numFmtId="0" xfId="0" applyBorder="1" applyFont="1"/>
    <xf borderId="0" fillId="0" fontId="20" numFmtId="0" xfId="0" applyAlignment="1" applyFont="1">
      <alignment horizontal="center" vertical="center"/>
    </xf>
    <xf borderId="22" fillId="5" fontId="48" numFmtId="0" xfId="0" applyAlignment="1" applyBorder="1" applyFont="1">
      <alignment horizontal="center" readingOrder="0" vertical="center"/>
    </xf>
    <xf borderId="22" fillId="4" fontId="36" numFmtId="0" xfId="0" applyAlignment="1" applyBorder="1" applyFont="1">
      <alignment vertical="center"/>
    </xf>
    <xf borderId="13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0.38"/>
    <col customWidth="1" min="2" max="2" width="6.75"/>
    <col customWidth="1" min="3" max="3" width="57.88"/>
    <col customWidth="1" min="4" max="4" width="28.5"/>
    <col customWidth="1" min="5" max="5" width="11.88"/>
    <col customWidth="1" min="6" max="6" width="10.5"/>
    <col customWidth="1" min="7" max="7" width="8.38"/>
    <col customWidth="1" min="8" max="8" width="24.13"/>
    <col customWidth="1" min="10" max="183" width="3.0"/>
  </cols>
  <sheetData>
    <row r="1" ht="21.0" customHeight="1">
      <c r="A1" s="1"/>
      <c r="B1" s="2"/>
      <c r="C1" s="3"/>
      <c r="D1" s="3"/>
      <c r="E1" s="3"/>
      <c r="F1" s="4"/>
      <c r="G1" s="4"/>
      <c r="H1" s="4"/>
      <c r="I1" s="3"/>
      <c r="J1" s="5"/>
      <c r="K1" s="6"/>
      <c r="L1" s="7"/>
      <c r="M1" s="8"/>
      <c r="N1" s="7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</row>
    <row r="2" ht="21.0" customHeight="1">
      <c r="A2" s="10"/>
      <c r="B2" s="12" t="s">
        <v>0</v>
      </c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5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5"/>
      <c r="AN2" s="16"/>
      <c r="AO2" s="16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0"/>
      <c r="FY2" s="10"/>
      <c r="FZ2" s="10"/>
      <c r="GA2" s="10"/>
    </row>
    <row r="3" ht="21.0" customHeight="1">
      <c r="A3" s="10"/>
      <c r="B3" s="18"/>
      <c r="C3" s="18"/>
      <c r="D3" s="19"/>
      <c r="E3" s="19"/>
      <c r="F3" s="19"/>
      <c r="G3" s="19"/>
      <c r="H3" s="19"/>
      <c r="I3" s="19"/>
      <c r="J3" s="20"/>
      <c r="K3" s="20"/>
      <c r="L3" s="20"/>
      <c r="M3" s="20"/>
      <c r="N3" s="21"/>
      <c r="O3" s="21"/>
      <c r="P3" s="21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</row>
    <row r="4" ht="21.0" customHeight="1">
      <c r="A4" s="10"/>
      <c r="B4" s="22" t="s">
        <v>1</v>
      </c>
      <c r="C4" s="23"/>
      <c r="D4" s="24" t="s">
        <v>2</v>
      </c>
      <c r="E4" s="24"/>
      <c r="F4" s="24"/>
      <c r="G4" s="24"/>
      <c r="H4" s="24"/>
      <c r="I4" s="24"/>
      <c r="J4" s="24" t="s">
        <v>3</v>
      </c>
      <c r="K4" s="22"/>
      <c r="L4" s="22"/>
      <c r="M4" s="22"/>
      <c r="N4" s="22"/>
      <c r="O4" s="22"/>
      <c r="P4" s="22"/>
      <c r="Q4" s="25" t="s">
        <v>4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6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</row>
    <row r="5" ht="21.0" customHeight="1">
      <c r="A5" s="10"/>
      <c r="B5" s="22" t="s">
        <v>5</v>
      </c>
      <c r="C5" s="23"/>
      <c r="D5" s="27"/>
      <c r="E5" s="23"/>
      <c r="F5" s="23"/>
      <c r="G5" s="23"/>
      <c r="H5" s="24"/>
      <c r="I5" s="24"/>
      <c r="J5" s="24" t="s">
        <v>6</v>
      </c>
      <c r="K5" s="22"/>
      <c r="L5" s="22"/>
      <c r="M5" s="22"/>
      <c r="N5" s="22"/>
      <c r="O5" s="22"/>
      <c r="P5" s="22"/>
      <c r="Q5" s="28">
        <v>45802.0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9"/>
      <c r="AE5" s="26"/>
      <c r="AF5" s="10"/>
      <c r="AG5" s="10"/>
      <c r="AH5" s="10"/>
      <c r="AI5" s="10"/>
      <c r="AJ5" s="10"/>
      <c r="AK5" s="10"/>
      <c r="AL5" s="10"/>
      <c r="AM5" s="10"/>
      <c r="AN5" s="10"/>
      <c r="AO5" s="3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</row>
    <row r="6" ht="21.0" customHeight="1">
      <c r="A6" s="31"/>
      <c r="B6" s="32"/>
      <c r="D6" s="32"/>
      <c r="E6" s="32"/>
      <c r="F6" s="32"/>
      <c r="G6" s="33"/>
      <c r="H6" s="33"/>
      <c r="I6" s="33"/>
      <c r="J6" s="32"/>
      <c r="K6" s="32"/>
      <c r="L6" s="32"/>
      <c r="M6" s="32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</row>
    <row r="7" ht="17.25" customHeight="1">
      <c r="A7" s="34"/>
      <c r="B7" s="35" t="s">
        <v>7</v>
      </c>
      <c r="C7" s="36" t="s">
        <v>8</v>
      </c>
      <c r="D7" s="36" t="s">
        <v>9</v>
      </c>
      <c r="E7" s="36" t="s">
        <v>10</v>
      </c>
      <c r="F7" s="36" t="s">
        <v>11</v>
      </c>
      <c r="G7" s="36" t="s">
        <v>12</v>
      </c>
      <c r="H7" s="36" t="s">
        <v>13</v>
      </c>
      <c r="I7" s="36" t="s">
        <v>14</v>
      </c>
      <c r="J7" s="37" t="s">
        <v>15</v>
      </c>
      <c r="Q7" s="38" t="s">
        <v>16</v>
      </c>
      <c r="AW7" s="39" t="s">
        <v>17</v>
      </c>
      <c r="CD7" s="40" t="s">
        <v>18</v>
      </c>
      <c r="DK7" s="41" t="s">
        <v>19</v>
      </c>
      <c r="EQ7" s="42" t="s">
        <v>20</v>
      </c>
      <c r="FX7" s="43"/>
      <c r="FY7" s="43"/>
      <c r="FZ7" s="43"/>
      <c r="GA7" s="43"/>
    </row>
    <row r="8" ht="17.25" customHeight="1">
      <c r="A8" s="44"/>
      <c r="J8" s="45">
        <v>25.0</v>
      </c>
      <c r="K8" s="45">
        <v>26.0</v>
      </c>
      <c r="L8" s="45">
        <v>27.0</v>
      </c>
      <c r="M8" s="45">
        <v>28.0</v>
      </c>
      <c r="N8" s="46">
        <v>29.0</v>
      </c>
      <c r="O8" s="45">
        <v>30.0</v>
      </c>
      <c r="P8" s="46">
        <v>31.0</v>
      </c>
      <c r="Q8" s="47">
        <v>1.0</v>
      </c>
      <c r="R8" s="48">
        <f t="shared" ref="R8:W8" si="1">Q8+1</f>
        <v>2</v>
      </c>
      <c r="S8" s="48">
        <f t="shared" si="1"/>
        <v>3</v>
      </c>
      <c r="T8" s="48">
        <f t="shared" si="1"/>
        <v>4</v>
      </c>
      <c r="U8" s="48">
        <f t="shared" si="1"/>
        <v>5</v>
      </c>
      <c r="V8" s="48">
        <f t="shared" si="1"/>
        <v>6</v>
      </c>
      <c r="W8" s="48">
        <f t="shared" si="1"/>
        <v>7</v>
      </c>
      <c r="X8" s="49" t="s">
        <v>21</v>
      </c>
      <c r="Y8" s="48">
        <f>W8+1</f>
        <v>8</v>
      </c>
      <c r="Z8" s="48">
        <f t="shared" ref="Z8:AL8" si="2">Y8+1</f>
        <v>9</v>
      </c>
      <c r="AA8" s="48">
        <f t="shared" si="2"/>
        <v>10</v>
      </c>
      <c r="AB8" s="48">
        <f t="shared" si="2"/>
        <v>11</v>
      </c>
      <c r="AC8" s="48">
        <f t="shared" si="2"/>
        <v>12</v>
      </c>
      <c r="AD8" s="48">
        <f t="shared" si="2"/>
        <v>13</v>
      </c>
      <c r="AE8" s="48">
        <f t="shared" si="2"/>
        <v>14</v>
      </c>
      <c r="AF8" s="48">
        <f t="shared" si="2"/>
        <v>15</v>
      </c>
      <c r="AG8" s="48">
        <f t="shared" si="2"/>
        <v>16</v>
      </c>
      <c r="AH8" s="48">
        <f t="shared" si="2"/>
        <v>17</v>
      </c>
      <c r="AI8" s="48">
        <f t="shared" si="2"/>
        <v>18</v>
      </c>
      <c r="AJ8" s="48">
        <f t="shared" si="2"/>
        <v>19</v>
      </c>
      <c r="AK8" s="48">
        <f t="shared" si="2"/>
        <v>20</v>
      </c>
      <c r="AL8" s="48">
        <f t="shared" si="2"/>
        <v>21</v>
      </c>
      <c r="AM8" s="49" t="s">
        <v>21</v>
      </c>
      <c r="AN8" s="48">
        <f>AL8+1</f>
        <v>22</v>
      </c>
      <c r="AO8" s="48">
        <f t="shared" ref="AO8:AV8" si="3">AN8+1</f>
        <v>23</v>
      </c>
      <c r="AP8" s="48">
        <f t="shared" si="3"/>
        <v>24</v>
      </c>
      <c r="AQ8" s="48">
        <f t="shared" si="3"/>
        <v>25</v>
      </c>
      <c r="AR8" s="48">
        <f t="shared" si="3"/>
        <v>26</v>
      </c>
      <c r="AS8" s="48">
        <f t="shared" si="3"/>
        <v>27</v>
      </c>
      <c r="AT8" s="48">
        <f t="shared" si="3"/>
        <v>28</v>
      </c>
      <c r="AU8" s="48">
        <f t="shared" si="3"/>
        <v>29</v>
      </c>
      <c r="AV8" s="50">
        <f t="shared" si="3"/>
        <v>30</v>
      </c>
      <c r="AW8" s="47">
        <v>1.0</v>
      </c>
      <c r="AX8" s="48">
        <f t="shared" ref="AX8:BA8" si="4">AW8+1</f>
        <v>2</v>
      </c>
      <c r="AY8" s="48">
        <f t="shared" si="4"/>
        <v>3</v>
      </c>
      <c r="AZ8" s="48">
        <f t="shared" si="4"/>
        <v>4</v>
      </c>
      <c r="BA8" s="48">
        <f t="shared" si="4"/>
        <v>5</v>
      </c>
      <c r="BB8" s="49" t="s">
        <v>21</v>
      </c>
      <c r="BC8" s="48">
        <f>BA8+1</f>
        <v>6</v>
      </c>
      <c r="BD8" s="48">
        <f t="shared" ref="BD8:BP8" si="5">BC8+1</f>
        <v>7</v>
      </c>
      <c r="BE8" s="48">
        <f t="shared" si="5"/>
        <v>8</v>
      </c>
      <c r="BF8" s="48">
        <f t="shared" si="5"/>
        <v>9</v>
      </c>
      <c r="BG8" s="48">
        <f t="shared" si="5"/>
        <v>10</v>
      </c>
      <c r="BH8" s="48">
        <f t="shared" si="5"/>
        <v>11</v>
      </c>
      <c r="BI8" s="48">
        <f t="shared" si="5"/>
        <v>12</v>
      </c>
      <c r="BJ8" s="48">
        <f t="shared" si="5"/>
        <v>13</v>
      </c>
      <c r="BK8" s="48">
        <f t="shared" si="5"/>
        <v>14</v>
      </c>
      <c r="BL8" s="48">
        <f t="shared" si="5"/>
        <v>15</v>
      </c>
      <c r="BM8" s="48">
        <f t="shared" si="5"/>
        <v>16</v>
      </c>
      <c r="BN8" s="48">
        <f t="shared" si="5"/>
        <v>17</v>
      </c>
      <c r="BO8" s="48">
        <f t="shared" si="5"/>
        <v>18</v>
      </c>
      <c r="BP8" s="48">
        <f t="shared" si="5"/>
        <v>19</v>
      </c>
      <c r="BQ8" s="49" t="s">
        <v>21</v>
      </c>
      <c r="BR8" s="48">
        <f>BP8+1</f>
        <v>20</v>
      </c>
      <c r="BS8" s="48">
        <f t="shared" ref="BS8:CC8" si="6">BR8+1</f>
        <v>21</v>
      </c>
      <c r="BT8" s="48">
        <f t="shared" si="6"/>
        <v>22</v>
      </c>
      <c r="BU8" s="48">
        <f t="shared" si="6"/>
        <v>23</v>
      </c>
      <c r="BV8" s="48">
        <f t="shared" si="6"/>
        <v>24</v>
      </c>
      <c r="BW8" s="48">
        <f t="shared" si="6"/>
        <v>25</v>
      </c>
      <c r="BX8" s="48">
        <f t="shared" si="6"/>
        <v>26</v>
      </c>
      <c r="BY8" s="48">
        <f t="shared" si="6"/>
        <v>27</v>
      </c>
      <c r="BZ8" s="48">
        <f t="shared" si="6"/>
        <v>28</v>
      </c>
      <c r="CA8" s="51">
        <f t="shared" si="6"/>
        <v>29</v>
      </c>
      <c r="CB8" s="48">
        <f t="shared" si="6"/>
        <v>30</v>
      </c>
      <c r="CC8" s="48">
        <f t="shared" si="6"/>
        <v>31</v>
      </c>
      <c r="CD8" s="47">
        <v>1.0</v>
      </c>
      <c r="CE8" s="48">
        <f t="shared" ref="CE8:CO8" si="7">CD8+1</f>
        <v>2</v>
      </c>
      <c r="CF8" s="48">
        <f t="shared" si="7"/>
        <v>3</v>
      </c>
      <c r="CG8" s="48">
        <f t="shared" si="7"/>
        <v>4</v>
      </c>
      <c r="CH8" s="48">
        <f t="shared" si="7"/>
        <v>5</v>
      </c>
      <c r="CI8" s="48">
        <f t="shared" si="7"/>
        <v>6</v>
      </c>
      <c r="CJ8" s="48">
        <f t="shared" si="7"/>
        <v>7</v>
      </c>
      <c r="CK8" s="48">
        <f t="shared" si="7"/>
        <v>8</v>
      </c>
      <c r="CL8" s="48">
        <f t="shared" si="7"/>
        <v>9</v>
      </c>
      <c r="CM8" s="48">
        <f t="shared" si="7"/>
        <v>10</v>
      </c>
      <c r="CN8" s="48">
        <f t="shared" si="7"/>
        <v>11</v>
      </c>
      <c r="CO8" s="48">
        <f t="shared" si="7"/>
        <v>12</v>
      </c>
      <c r="CP8" s="48"/>
      <c r="CQ8" s="48">
        <f>CO8+1</f>
        <v>13</v>
      </c>
      <c r="CR8" s="48">
        <f t="shared" ref="CR8:DD8" si="8">CQ8+1</f>
        <v>14</v>
      </c>
      <c r="CS8" s="48">
        <f t="shared" si="8"/>
        <v>15</v>
      </c>
      <c r="CT8" s="48">
        <f t="shared" si="8"/>
        <v>16</v>
      </c>
      <c r="CU8" s="48">
        <f t="shared" si="8"/>
        <v>17</v>
      </c>
      <c r="CV8" s="48">
        <f t="shared" si="8"/>
        <v>18</v>
      </c>
      <c r="CW8" s="48">
        <f t="shared" si="8"/>
        <v>19</v>
      </c>
      <c r="CX8" s="48">
        <f t="shared" si="8"/>
        <v>20</v>
      </c>
      <c r="CY8" s="48">
        <f t="shared" si="8"/>
        <v>21</v>
      </c>
      <c r="CZ8" s="48">
        <f t="shared" si="8"/>
        <v>22</v>
      </c>
      <c r="DA8" s="48">
        <f t="shared" si="8"/>
        <v>23</v>
      </c>
      <c r="DB8" s="48">
        <f t="shared" si="8"/>
        <v>24</v>
      </c>
      <c r="DC8" s="48">
        <f t="shared" si="8"/>
        <v>25</v>
      </c>
      <c r="DD8" s="48">
        <f t="shared" si="8"/>
        <v>26</v>
      </c>
      <c r="DE8" s="48"/>
      <c r="DF8" s="48">
        <f>DD8+1</f>
        <v>27</v>
      </c>
      <c r="DG8" s="48">
        <f t="shared" ref="DG8:DJ8" si="9">DF8+1</f>
        <v>28</v>
      </c>
      <c r="DH8" s="48">
        <f t="shared" si="9"/>
        <v>29</v>
      </c>
      <c r="DI8" s="48">
        <f t="shared" si="9"/>
        <v>30</v>
      </c>
      <c r="DJ8" s="48">
        <f t="shared" si="9"/>
        <v>31</v>
      </c>
      <c r="DK8" s="47">
        <v>1.0</v>
      </c>
      <c r="DL8" s="48">
        <f t="shared" ref="DL8:DS8" si="10">DK8+1</f>
        <v>2</v>
      </c>
      <c r="DM8" s="48">
        <f t="shared" si="10"/>
        <v>3</v>
      </c>
      <c r="DN8" s="48">
        <f t="shared" si="10"/>
        <v>4</v>
      </c>
      <c r="DO8" s="48">
        <f t="shared" si="10"/>
        <v>5</v>
      </c>
      <c r="DP8" s="48">
        <f t="shared" si="10"/>
        <v>6</v>
      </c>
      <c r="DQ8" s="48">
        <f t="shared" si="10"/>
        <v>7</v>
      </c>
      <c r="DR8" s="48">
        <f t="shared" si="10"/>
        <v>8</v>
      </c>
      <c r="DS8" s="48">
        <f t="shared" si="10"/>
        <v>9</v>
      </c>
      <c r="DT8" s="48"/>
      <c r="DU8" s="48">
        <f>DS8+1</f>
        <v>10</v>
      </c>
      <c r="DV8" s="48">
        <f t="shared" ref="DV8:EN8" si="11">DU8+1</f>
        <v>11</v>
      </c>
      <c r="DW8" s="48">
        <f t="shared" si="11"/>
        <v>12</v>
      </c>
      <c r="DX8" s="48">
        <f t="shared" si="11"/>
        <v>13</v>
      </c>
      <c r="DY8" s="48">
        <f t="shared" si="11"/>
        <v>14</v>
      </c>
      <c r="DZ8" s="52">
        <f t="shared" si="11"/>
        <v>15</v>
      </c>
      <c r="EA8" s="50">
        <f t="shared" si="11"/>
        <v>16</v>
      </c>
      <c r="EB8" s="50">
        <f t="shared" si="11"/>
        <v>17</v>
      </c>
      <c r="EC8" s="50">
        <f t="shared" si="11"/>
        <v>18</v>
      </c>
      <c r="ED8" s="50">
        <f t="shared" si="11"/>
        <v>19</v>
      </c>
      <c r="EE8" s="50">
        <f t="shared" si="11"/>
        <v>20</v>
      </c>
      <c r="EF8" s="50">
        <f t="shared" si="11"/>
        <v>21</v>
      </c>
      <c r="EG8" s="50">
        <f t="shared" si="11"/>
        <v>22</v>
      </c>
      <c r="EH8" s="50">
        <f t="shared" si="11"/>
        <v>23</v>
      </c>
      <c r="EI8" s="50">
        <f t="shared" si="11"/>
        <v>24</v>
      </c>
      <c r="EJ8" s="50">
        <f t="shared" si="11"/>
        <v>25</v>
      </c>
      <c r="EK8" s="50">
        <f t="shared" si="11"/>
        <v>26</v>
      </c>
      <c r="EL8" s="50">
        <f t="shared" si="11"/>
        <v>27</v>
      </c>
      <c r="EM8" s="50">
        <f t="shared" si="11"/>
        <v>28</v>
      </c>
      <c r="EN8" s="50">
        <f t="shared" si="11"/>
        <v>29</v>
      </c>
      <c r="EO8" s="50"/>
      <c r="EP8" s="50">
        <f>EN8+1</f>
        <v>30</v>
      </c>
      <c r="EQ8" s="47">
        <v>1.0</v>
      </c>
      <c r="ER8" s="48">
        <f t="shared" ref="ER8:FC8" si="12">EQ8+1</f>
        <v>2</v>
      </c>
      <c r="ES8" s="48">
        <f t="shared" si="12"/>
        <v>3</v>
      </c>
      <c r="ET8" s="48">
        <f t="shared" si="12"/>
        <v>4</v>
      </c>
      <c r="EU8" s="48">
        <f t="shared" si="12"/>
        <v>5</v>
      </c>
      <c r="EV8" s="48">
        <f t="shared" si="12"/>
        <v>6</v>
      </c>
      <c r="EW8" s="48">
        <f t="shared" si="12"/>
        <v>7</v>
      </c>
      <c r="EX8" s="48">
        <f t="shared" si="12"/>
        <v>8</v>
      </c>
      <c r="EY8" s="48">
        <f t="shared" si="12"/>
        <v>9</v>
      </c>
      <c r="EZ8" s="48">
        <f t="shared" si="12"/>
        <v>10</v>
      </c>
      <c r="FA8" s="48">
        <f t="shared" si="12"/>
        <v>11</v>
      </c>
      <c r="FB8" s="48">
        <f t="shared" si="12"/>
        <v>12</v>
      </c>
      <c r="FC8" s="48">
        <f t="shared" si="12"/>
        <v>13</v>
      </c>
      <c r="FD8" s="48"/>
      <c r="FE8" s="48">
        <f>FC8+1</f>
        <v>14</v>
      </c>
      <c r="FF8" s="48">
        <f t="shared" ref="FF8:FR8" si="13">FE8+1</f>
        <v>15</v>
      </c>
      <c r="FG8" s="48">
        <f t="shared" si="13"/>
        <v>16</v>
      </c>
      <c r="FH8" s="48">
        <f t="shared" si="13"/>
        <v>17</v>
      </c>
      <c r="FI8" s="48">
        <f t="shared" si="13"/>
        <v>18</v>
      </c>
      <c r="FJ8" s="48">
        <f t="shared" si="13"/>
        <v>19</v>
      </c>
      <c r="FK8" s="48">
        <f t="shared" si="13"/>
        <v>20</v>
      </c>
      <c r="FL8" s="48">
        <f t="shared" si="13"/>
        <v>21</v>
      </c>
      <c r="FM8" s="48">
        <f t="shared" si="13"/>
        <v>22</v>
      </c>
      <c r="FN8" s="48">
        <f t="shared" si="13"/>
        <v>23</v>
      </c>
      <c r="FO8" s="48">
        <f t="shared" si="13"/>
        <v>24</v>
      </c>
      <c r="FP8" s="48">
        <f t="shared" si="13"/>
        <v>25</v>
      </c>
      <c r="FQ8" s="48">
        <f t="shared" si="13"/>
        <v>26</v>
      </c>
      <c r="FR8" s="48">
        <f t="shared" si="13"/>
        <v>27</v>
      </c>
      <c r="FS8" s="48"/>
      <c r="FT8" s="48">
        <f>FR8+1</f>
        <v>28</v>
      </c>
      <c r="FU8" s="48">
        <f t="shared" ref="FU8:FW8" si="14">FT8+1</f>
        <v>29</v>
      </c>
      <c r="FV8" s="48">
        <f t="shared" si="14"/>
        <v>30</v>
      </c>
      <c r="FW8" s="52">
        <f t="shared" si="14"/>
        <v>31</v>
      </c>
      <c r="FX8" s="53"/>
      <c r="FY8" s="53"/>
      <c r="FZ8" s="53"/>
      <c r="GA8" s="53"/>
    </row>
    <row r="9" ht="17.25" customHeight="1">
      <c r="A9" s="54"/>
      <c r="J9" s="55" t="s">
        <v>22</v>
      </c>
      <c r="K9" s="55" t="s">
        <v>23</v>
      </c>
      <c r="L9" s="55" t="s">
        <v>24</v>
      </c>
      <c r="M9" s="55" t="s">
        <v>24</v>
      </c>
      <c r="N9" s="55" t="s">
        <v>25</v>
      </c>
      <c r="O9" s="55" t="s">
        <v>26</v>
      </c>
      <c r="P9" s="55" t="s">
        <v>27</v>
      </c>
      <c r="Q9" s="55" t="s">
        <v>22</v>
      </c>
      <c r="R9" s="55" t="s">
        <v>23</v>
      </c>
      <c r="S9" s="55" t="s">
        <v>24</v>
      </c>
      <c r="T9" s="55" t="s">
        <v>24</v>
      </c>
      <c r="U9" s="55" t="s">
        <v>25</v>
      </c>
      <c r="V9" s="55" t="s">
        <v>26</v>
      </c>
      <c r="W9" s="55" t="s">
        <v>27</v>
      </c>
      <c r="X9" s="56"/>
      <c r="Y9" s="55" t="s">
        <v>22</v>
      </c>
      <c r="Z9" s="55" t="s">
        <v>23</v>
      </c>
      <c r="AA9" s="55" t="s">
        <v>24</v>
      </c>
      <c r="AB9" s="55" t="s">
        <v>24</v>
      </c>
      <c r="AC9" s="55" t="s">
        <v>25</v>
      </c>
      <c r="AD9" s="55" t="s">
        <v>26</v>
      </c>
      <c r="AE9" s="55" t="s">
        <v>27</v>
      </c>
      <c r="AF9" s="55" t="s">
        <v>22</v>
      </c>
      <c r="AG9" s="55" t="s">
        <v>23</v>
      </c>
      <c r="AH9" s="55" t="s">
        <v>24</v>
      </c>
      <c r="AI9" s="55" t="s">
        <v>24</v>
      </c>
      <c r="AJ9" s="55" t="s">
        <v>25</v>
      </c>
      <c r="AK9" s="55" t="s">
        <v>26</v>
      </c>
      <c r="AL9" s="55" t="s">
        <v>27</v>
      </c>
      <c r="AM9" s="56"/>
      <c r="AN9" s="55" t="s">
        <v>22</v>
      </c>
      <c r="AO9" s="55" t="s">
        <v>23</v>
      </c>
      <c r="AP9" s="55" t="s">
        <v>24</v>
      </c>
      <c r="AQ9" s="55" t="s">
        <v>24</v>
      </c>
      <c r="AR9" s="55" t="s">
        <v>25</v>
      </c>
      <c r="AS9" s="55" t="s">
        <v>26</v>
      </c>
      <c r="AT9" s="55" t="s">
        <v>27</v>
      </c>
      <c r="AU9" s="55" t="s">
        <v>22</v>
      </c>
      <c r="AV9" s="55" t="s">
        <v>23</v>
      </c>
      <c r="AW9" s="55" t="s">
        <v>24</v>
      </c>
      <c r="AX9" s="55" t="s">
        <v>24</v>
      </c>
      <c r="AY9" s="55" t="s">
        <v>25</v>
      </c>
      <c r="AZ9" s="55" t="s">
        <v>26</v>
      </c>
      <c r="BA9" s="55" t="s">
        <v>27</v>
      </c>
      <c r="BB9" s="56"/>
      <c r="BC9" s="55" t="s">
        <v>22</v>
      </c>
      <c r="BD9" s="55" t="s">
        <v>23</v>
      </c>
      <c r="BE9" s="55" t="s">
        <v>24</v>
      </c>
      <c r="BF9" s="55" t="s">
        <v>24</v>
      </c>
      <c r="BG9" s="55" t="s">
        <v>25</v>
      </c>
      <c r="BH9" s="55" t="s">
        <v>26</v>
      </c>
      <c r="BI9" s="55" t="s">
        <v>27</v>
      </c>
      <c r="BJ9" s="55" t="s">
        <v>22</v>
      </c>
      <c r="BK9" s="55" t="s">
        <v>23</v>
      </c>
      <c r="BL9" s="55" t="s">
        <v>24</v>
      </c>
      <c r="BM9" s="55" t="s">
        <v>24</v>
      </c>
      <c r="BN9" s="55" t="s">
        <v>25</v>
      </c>
      <c r="BO9" s="55" t="s">
        <v>26</v>
      </c>
      <c r="BP9" s="55" t="s">
        <v>27</v>
      </c>
      <c r="BQ9" s="56"/>
      <c r="BR9" s="55" t="s">
        <v>22</v>
      </c>
      <c r="BS9" s="55" t="s">
        <v>23</v>
      </c>
      <c r="BT9" s="55" t="s">
        <v>24</v>
      </c>
      <c r="BU9" s="55" t="s">
        <v>24</v>
      </c>
      <c r="BV9" s="55" t="s">
        <v>25</v>
      </c>
      <c r="BW9" s="55" t="s">
        <v>26</v>
      </c>
      <c r="BX9" s="55" t="s">
        <v>27</v>
      </c>
      <c r="BY9" s="55" t="s">
        <v>22</v>
      </c>
      <c r="BZ9" s="55" t="s">
        <v>23</v>
      </c>
      <c r="CA9" s="57" t="s">
        <v>21</v>
      </c>
      <c r="CB9" s="55" t="s">
        <v>24</v>
      </c>
      <c r="CC9" s="55" t="s">
        <v>25</v>
      </c>
      <c r="CD9" s="55" t="s">
        <v>26</v>
      </c>
      <c r="CE9" s="55" t="s">
        <v>27</v>
      </c>
      <c r="CF9" s="55" t="s">
        <v>22</v>
      </c>
      <c r="CG9" s="55" t="s">
        <v>23</v>
      </c>
      <c r="CH9" s="55" t="s">
        <v>24</v>
      </c>
      <c r="CI9" s="55" t="s">
        <v>24</v>
      </c>
      <c r="CJ9" s="55" t="s">
        <v>25</v>
      </c>
      <c r="CK9" s="55" t="s">
        <v>26</v>
      </c>
      <c r="CL9" s="55" t="s">
        <v>27</v>
      </c>
      <c r="CM9" s="55" t="s">
        <v>22</v>
      </c>
      <c r="CN9" s="55" t="s">
        <v>23</v>
      </c>
      <c r="CO9" s="55" t="s">
        <v>24</v>
      </c>
      <c r="CP9" s="55"/>
      <c r="CQ9" s="55" t="s">
        <v>24</v>
      </c>
      <c r="CR9" s="55" t="s">
        <v>25</v>
      </c>
      <c r="CS9" s="55" t="s">
        <v>26</v>
      </c>
      <c r="CT9" s="55" t="s">
        <v>27</v>
      </c>
      <c r="CU9" s="55" t="s">
        <v>22</v>
      </c>
      <c r="CV9" s="55" t="s">
        <v>23</v>
      </c>
      <c r="CW9" s="55" t="s">
        <v>24</v>
      </c>
      <c r="CX9" s="55" t="s">
        <v>24</v>
      </c>
      <c r="CY9" s="55" t="s">
        <v>25</v>
      </c>
      <c r="CZ9" s="55" t="s">
        <v>26</v>
      </c>
      <c r="DA9" s="55" t="s">
        <v>27</v>
      </c>
      <c r="DB9" s="55" t="s">
        <v>22</v>
      </c>
      <c r="DC9" s="55" t="s">
        <v>23</v>
      </c>
      <c r="DD9" s="55" t="s">
        <v>24</v>
      </c>
      <c r="DE9" s="55"/>
      <c r="DF9" s="55" t="s">
        <v>24</v>
      </c>
      <c r="DG9" s="55" t="s">
        <v>25</v>
      </c>
      <c r="DH9" s="55" t="s">
        <v>26</v>
      </c>
      <c r="DI9" s="55" t="s">
        <v>27</v>
      </c>
      <c r="DJ9" s="55" t="s">
        <v>22</v>
      </c>
      <c r="DK9" s="55" t="s">
        <v>23</v>
      </c>
      <c r="DL9" s="55" t="s">
        <v>24</v>
      </c>
      <c r="DM9" s="55" t="s">
        <v>24</v>
      </c>
      <c r="DN9" s="55" t="s">
        <v>25</v>
      </c>
      <c r="DO9" s="55" t="s">
        <v>26</v>
      </c>
      <c r="DP9" s="55" t="s">
        <v>27</v>
      </c>
      <c r="DQ9" s="55" t="s">
        <v>22</v>
      </c>
      <c r="DR9" s="55" t="s">
        <v>23</v>
      </c>
      <c r="DS9" s="55" t="s">
        <v>24</v>
      </c>
      <c r="DT9" s="55"/>
      <c r="DU9" s="55" t="s">
        <v>24</v>
      </c>
      <c r="DV9" s="55" t="s">
        <v>25</v>
      </c>
      <c r="DW9" s="55" t="s">
        <v>26</v>
      </c>
      <c r="DX9" s="55" t="s">
        <v>27</v>
      </c>
      <c r="DY9" s="55" t="s">
        <v>22</v>
      </c>
      <c r="DZ9" s="57" t="s">
        <v>23</v>
      </c>
      <c r="EA9" s="55" t="s">
        <v>24</v>
      </c>
      <c r="EB9" s="55" t="s">
        <v>24</v>
      </c>
      <c r="EC9" s="55" t="s">
        <v>25</v>
      </c>
      <c r="ED9" s="55" t="s">
        <v>26</v>
      </c>
      <c r="EE9" s="55" t="s">
        <v>27</v>
      </c>
      <c r="EF9" s="55" t="s">
        <v>22</v>
      </c>
      <c r="EG9" s="55" t="s">
        <v>23</v>
      </c>
      <c r="EH9" s="55" t="s">
        <v>24</v>
      </c>
      <c r="EI9" s="55" t="s">
        <v>24</v>
      </c>
      <c r="EJ9" s="55" t="s">
        <v>25</v>
      </c>
      <c r="EK9" s="55" t="s">
        <v>26</v>
      </c>
      <c r="EL9" s="55" t="s">
        <v>27</v>
      </c>
      <c r="EM9" s="55" t="s">
        <v>22</v>
      </c>
      <c r="EN9" s="55" t="s">
        <v>23</v>
      </c>
      <c r="EO9" s="55"/>
      <c r="EP9" s="55" t="s">
        <v>24</v>
      </c>
      <c r="EQ9" s="55" t="s">
        <v>24</v>
      </c>
      <c r="ER9" s="55" t="s">
        <v>25</v>
      </c>
      <c r="ES9" s="55" t="s">
        <v>26</v>
      </c>
      <c r="ET9" s="55" t="s">
        <v>27</v>
      </c>
      <c r="EU9" s="55" t="s">
        <v>22</v>
      </c>
      <c r="EV9" s="55" t="s">
        <v>23</v>
      </c>
      <c r="EW9" s="55" t="s">
        <v>24</v>
      </c>
      <c r="EX9" s="55" t="s">
        <v>24</v>
      </c>
      <c r="EY9" s="55" t="s">
        <v>25</v>
      </c>
      <c r="EZ9" s="55" t="s">
        <v>26</v>
      </c>
      <c r="FA9" s="55" t="s">
        <v>27</v>
      </c>
      <c r="FB9" s="55" t="s">
        <v>22</v>
      </c>
      <c r="FC9" s="55" t="s">
        <v>23</v>
      </c>
      <c r="FD9" s="55"/>
      <c r="FE9" s="55" t="s">
        <v>24</v>
      </c>
      <c r="FF9" s="55" t="s">
        <v>24</v>
      </c>
      <c r="FG9" s="55" t="s">
        <v>25</v>
      </c>
      <c r="FH9" s="55" t="s">
        <v>26</v>
      </c>
      <c r="FI9" s="55" t="s">
        <v>27</v>
      </c>
      <c r="FJ9" s="55" t="s">
        <v>22</v>
      </c>
      <c r="FK9" s="55" t="s">
        <v>23</v>
      </c>
      <c r="FL9" s="55" t="s">
        <v>24</v>
      </c>
      <c r="FM9" s="55" t="s">
        <v>24</v>
      </c>
      <c r="FN9" s="55" t="s">
        <v>25</v>
      </c>
      <c r="FO9" s="55" t="s">
        <v>26</v>
      </c>
      <c r="FP9" s="55" t="s">
        <v>27</v>
      </c>
      <c r="FQ9" s="55" t="s">
        <v>22</v>
      </c>
      <c r="FR9" s="55" t="s">
        <v>23</v>
      </c>
      <c r="FS9" s="55"/>
      <c r="FT9" s="55" t="s">
        <v>24</v>
      </c>
      <c r="FU9" s="55" t="s">
        <v>24</v>
      </c>
      <c r="FV9" s="55" t="s">
        <v>25</v>
      </c>
      <c r="FW9" s="58" t="s">
        <v>26</v>
      </c>
      <c r="FX9" s="59"/>
      <c r="FY9" s="59"/>
      <c r="FZ9" s="59"/>
      <c r="GA9" s="59"/>
    </row>
    <row r="10" ht="21.0" customHeight="1">
      <c r="A10" s="31"/>
      <c r="J10" s="60" t="s">
        <v>28</v>
      </c>
      <c r="X10" s="61"/>
      <c r="Y10" s="62" t="s">
        <v>29</v>
      </c>
      <c r="AM10" s="61"/>
      <c r="AN10" s="60" t="s">
        <v>30</v>
      </c>
      <c r="BB10" s="61"/>
      <c r="BC10" s="62" t="s">
        <v>31</v>
      </c>
      <c r="BQ10" s="61"/>
      <c r="BR10" s="60" t="s">
        <v>32</v>
      </c>
      <c r="CA10" s="63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3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6"/>
      <c r="FX10" s="67"/>
      <c r="FY10" s="67"/>
      <c r="FZ10" s="67"/>
      <c r="GA10" s="67"/>
    </row>
    <row r="11" ht="30.0" customHeight="1">
      <c r="A11" s="31"/>
      <c r="B11" s="68" t="s">
        <v>33</v>
      </c>
      <c r="J11" s="69" t="s">
        <v>34</v>
      </c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6"/>
      <c r="FX11" s="67"/>
      <c r="FY11" s="67"/>
      <c r="FZ11" s="67"/>
      <c r="GA11" s="67"/>
    </row>
    <row r="12" ht="22.5" customHeight="1">
      <c r="A12" s="31"/>
      <c r="B12" s="70">
        <v>1.0</v>
      </c>
      <c r="C12" s="71" t="s">
        <v>35</v>
      </c>
      <c r="D12" s="72"/>
      <c r="E12" s="72"/>
      <c r="F12" s="72"/>
      <c r="G12" s="72"/>
      <c r="H12" s="72"/>
      <c r="I12" s="72"/>
      <c r="J12" s="73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4"/>
      <c r="DX12" s="74"/>
      <c r="DY12" s="74"/>
      <c r="EA12" s="74"/>
      <c r="EB12" s="74"/>
      <c r="EC12" s="74"/>
      <c r="ED12" s="74"/>
      <c r="EE12" s="74"/>
      <c r="EF12" s="74"/>
      <c r="EG12" s="74"/>
      <c r="EH12" s="74"/>
      <c r="EI12" s="74"/>
      <c r="EJ12" s="74"/>
      <c r="EK12" s="74"/>
      <c r="EL12" s="74"/>
      <c r="EM12" s="74"/>
      <c r="EN12" s="74"/>
      <c r="EO12" s="74"/>
      <c r="EP12" s="74"/>
      <c r="EQ12" s="74"/>
      <c r="ER12" s="74"/>
      <c r="ES12" s="74"/>
      <c r="ET12" s="74"/>
      <c r="EU12" s="74"/>
      <c r="EV12" s="74"/>
      <c r="EW12" s="74"/>
      <c r="EX12" s="74"/>
      <c r="EY12" s="74"/>
      <c r="EZ12" s="74"/>
      <c r="FA12" s="74"/>
      <c r="FB12" s="74"/>
      <c r="FC12" s="74"/>
      <c r="FD12" s="74"/>
      <c r="FE12" s="74"/>
      <c r="FF12" s="74"/>
      <c r="FG12" s="74"/>
      <c r="FH12" s="74"/>
      <c r="FI12" s="74"/>
      <c r="FJ12" s="74"/>
      <c r="FK12" s="74"/>
      <c r="FL12" s="74"/>
      <c r="FM12" s="74"/>
      <c r="FN12" s="74"/>
      <c r="FO12" s="74"/>
      <c r="FP12" s="74"/>
      <c r="FQ12" s="74"/>
      <c r="FR12" s="74"/>
      <c r="FS12" s="74"/>
      <c r="FT12" s="74"/>
      <c r="FU12" s="74"/>
      <c r="FV12" s="74"/>
      <c r="FW12" s="75"/>
      <c r="FX12" s="31"/>
      <c r="FY12" s="31"/>
      <c r="FZ12" s="31"/>
      <c r="GA12" s="31"/>
    </row>
    <row r="13" ht="17.25" customHeight="1" outlineLevel="1">
      <c r="A13" s="76"/>
      <c r="B13" s="77" t="s">
        <v>36</v>
      </c>
      <c r="C13" s="78" t="s">
        <v>37</v>
      </c>
      <c r="D13" s="78" t="s">
        <v>38</v>
      </c>
      <c r="E13" s="79">
        <v>45802.0</v>
      </c>
      <c r="F13" s="79">
        <v>45802.0</v>
      </c>
      <c r="G13" s="80">
        <f t="shared" ref="G13:G32" si="15">DAYS360(E13,F13)</f>
        <v>0</v>
      </c>
      <c r="H13" s="80"/>
      <c r="I13" s="81">
        <v>1.0</v>
      </c>
      <c r="J13" s="82"/>
      <c r="K13" s="83"/>
      <c r="L13" s="84"/>
      <c r="M13" s="85"/>
      <c r="N13" s="86"/>
      <c r="O13" s="87"/>
      <c r="P13" s="88"/>
      <c r="Q13" s="84"/>
      <c r="R13" s="84"/>
      <c r="S13" s="89"/>
      <c r="T13" s="89"/>
      <c r="U13" s="89"/>
      <c r="V13" s="89"/>
      <c r="W13" s="89"/>
      <c r="X13" s="90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90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90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90"/>
      <c r="BR13" s="89"/>
      <c r="BS13" s="89"/>
      <c r="BT13" s="89"/>
      <c r="BU13" s="89"/>
      <c r="BV13" s="91"/>
      <c r="BW13" s="91"/>
      <c r="BX13" s="91"/>
      <c r="BY13" s="91"/>
      <c r="BZ13" s="89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3"/>
      <c r="FX13" s="76"/>
      <c r="FY13" s="76"/>
      <c r="FZ13" s="76"/>
      <c r="GA13" s="76"/>
    </row>
    <row r="14" ht="17.25" customHeight="1" outlineLevel="1">
      <c r="A14" s="76"/>
      <c r="B14" s="77" t="s">
        <v>39</v>
      </c>
      <c r="C14" s="78" t="s">
        <v>40</v>
      </c>
      <c r="D14" s="78" t="s">
        <v>38</v>
      </c>
      <c r="E14" s="94">
        <v>45802.0</v>
      </c>
      <c r="F14" s="79">
        <v>45802.0</v>
      </c>
      <c r="G14" s="80">
        <f t="shared" si="15"/>
        <v>0</v>
      </c>
      <c r="H14" s="80"/>
      <c r="I14" s="81">
        <v>1.0</v>
      </c>
      <c r="J14" s="95"/>
      <c r="K14" s="96"/>
      <c r="L14" s="97"/>
      <c r="M14" s="98"/>
      <c r="N14" s="99"/>
      <c r="O14" s="100"/>
      <c r="P14" s="101"/>
      <c r="Q14" s="102"/>
      <c r="R14" s="102"/>
      <c r="S14" s="103"/>
      <c r="T14" s="89"/>
      <c r="U14" s="89"/>
      <c r="V14" s="89"/>
      <c r="W14" s="89"/>
      <c r="X14" s="90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90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90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90"/>
      <c r="BR14" s="89"/>
      <c r="BS14" s="89"/>
      <c r="BT14" s="89"/>
      <c r="BU14" s="104"/>
      <c r="BV14" s="105"/>
      <c r="BW14" s="105"/>
      <c r="BX14" s="105"/>
      <c r="BY14" s="105"/>
      <c r="BZ14" s="106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3"/>
      <c r="FX14" s="76"/>
      <c r="FY14" s="76"/>
      <c r="FZ14" s="76"/>
      <c r="GA14" s="76"/>
    </row>
    <row r="15" ht="17.25" customHeight="1" outlineLevel="1">
      <c r="A15" s="76"/>
      <c r="B15" s="77" t="s">
        <v>41</v>
      </c>
      <c r="C15" s="78" t="s">
        <v>42</v>
      </c>
      <c r="D15" s="78" t="s">
        <v>43</v>
      </c>
      <c r="E15" s="79">
        <v>45802.0</v>
      </c>
      <c r="F15" s="79">
        <v>45808.0</v>
      </c>
      <c r="G15" s="80">
        <f t="shared" si="15"/>
        <v>6</v>
      </c>
      <c r="H15" s="80"/>
      <c r="I15" s="81">
        <v>1.0</v>
      </c>
      <c r="J15" s="107"/>
      <c r="K15" s="108"/>
      <c r="L15" s="109"/>
      <c r="M15" s="109"/>
      <c r="N15" s="110"/>
      <c r="O15" s="111"/>
      <c r="P15" s="112"/>
      <c r="Q15" s="113"/>
      <c r="R15" s="114"/>
      <c r="S15" s="115"/>
      <c r="T15" s="116"/>
      <c r="U15" s="116"/>
      <c r="V15" s="116"/>
      <c r="W15" s="116"/>
      <c r="X15" s="117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17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17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17"/>
      <c r="BR15" s="105"/>
      <c r="BS15" s="105"/>
      <c r="BT15" s="105"/>
      <c r="BU15" s="118"/>
      <c r="BV15" s="105"/>
      <c r="BW15" s="105"/>
      <c r="BX15" s="105"/>
      <c r="BY15" s="105"/>
      <c r="BZ15" s="119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2"/>
      <c r="FH15" s="92"/>
      <c r="FI15" s="92"/>
      <c r="FJ15" s="92"/>
      <c r="FK15" s="92"/>
      <c r="FL15" s="92"/>
      <c r="FM15" s="92"/>
      <c r="FN15" s="92"/>
      <c r="FO15" s="92"/>
      <c r="FP15" s="92"/>
      <c r="FQ15" s="92"/>
      <c r="FR15" s="92"/>
      <c r="FS15" s="92"/>
      <c r="FT15" s="92"/>
      <c r="FU15" s="92"/>
      <c r="FV15" s="92"/>
      <c r="FW15" s="93"/>
      <c r="FX15" s="76"/>
      <c r="FY15" s="76"/>
      <c r="FZ15" s="76"/>
      <c r="GA15" s="76"/>
    </row>
    <row r="16" ht="17.25" customHeight="1" outlineLevel="1">
      <c r="A16" s="76"/>
      <c r="B16" s="77" t="s">
        <v>44</v>
      </c>
      <c r="C16" s="78" t="s">
        <v>45</v>
      </c>
      <c r="D16" s="78" t="s">
        <v>46</v>
      </c>
      <c r="E16" s="79">
        <v>45802.0</v>
      </c>
      <c r="F16" s="79">
        <v>45815.0</v>
      </c>
      <c r="G16" s="80">
        <f t="shared" si="15"/>
        <v>12</v>
      </c>
      <c r="H16" s="80"/>
      <c r="I16" s="81">
        <v>1.0</v>
      </c>
      <c r="J16" s="120"/>
      <c r="K16" s="121"/>
      <c r="L16" s="122"/>
      <c r="M16" s="122"/>
      <c r="N16" s="123"/>
      <c r="O16" s="124"/>
      <c r="P16" s="125"/>
      <c r="Q16" s="126"/>
      <c r="R16" s="127"/>
      <c r="S16" s="116"/>
      <c r="T16" s="116"/>
      <c r="U16" s="116"/>
      <c r="V16" s="116"/>
      <c r="W16" s="116"/>
      <c r="X16" s="117"/>
      <c r="Y16" s="128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17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17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17"/>
      <c r="BR16" s="105"/>
      <c r="BS16" s="105"/>
      <c r="BT16" s="105"/>
      <c r="BU16" s="118"/>
      <c r="BV16" s="105"/>
      <c r="BW16" s="105"/>
      <c r="BX16" s="105"/>
      <c r="BY16" s="105"/>
      <c r="BZ16" s="119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92"/>
      <c r="CO16" s="92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/>
      <c r="DW16" s="92"/>
      <c r="DX16" s="92"/>
      <c r="DY16" s="92"/>
      <c r="EA16" s="92"/>
      <c r="EB16" s="92"/>
      <c r="EC16" s="92"/>
      <c r="ED16" s="92"/>
      <c r="EE16" s="92"/>
      <c r="EF16" s="92"/>
      <c r="EG16" s="92"/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2"/>
      <c r="ET16" s="92"/>
      <c r="EU16" s="92"/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2"/>
      <c r="FH16" s="92"/>
      <c r="FI16" s="92"/>
      <c r="FJ16" s="92"/>
      <c r="FK16" s="92"/>
      <c r="FL16" s="92"/>
      <c r="FM16" s="92"/>
      <c r="FN16" s="92"/>
      <c r="FO16" s="92"/>
      <c r="FP16" s="92"/>
      <c r="FQ16" s="92"/>
      <c r="FR16" s="92"/>
      <c r="FS16" s="92"/>
      <c r="FT16" s="92"/>
      <c r="FU16" s="92"/>
      <c r="FV16" s="92"/>
      <c r="FW16" s="93"/>
      <c r="FX16" s="76"/>
      <c r="FY16" s="76"/>
      <c r="FZ16" s="76"/>
      <c r="GA16" s="76"/>
    </row>
    <row r="17" ht="17.25" customHeight="1" outlineLevel="1">
      <c r="A17" s="76"/>
      <c r="B17" s="77" t="s">
        <v>47</v>
      </c>
      <c r="C17" s="78" t="s">
        <v>48</v>
      </c>
      <c r="D17" s="78" t="s">
        <v>38</v>
      </c>
      <c r="E17" s="129">
        <v>45802.0</v>
      </c>
      <c r="F17" s="79">
        <v>45815.0</v>
      </c>
      <c r="G17" s="80">
        <f t="shared" si="15"/>
        <v>12</v>
      </c>
      <c r="H17" s="80"/>
      <c r="I17" s="81">
        <v>1.0</v>
      </c>
      <c r="J17" s="130"/>
      <c r="K17" s="121"/>
      <c r="L17" s="122"/>
      <c r="M17" s="122"/>
      <c r="N17" s="123"/>
      <c r="O17" s="124"/>
      <c r="P17" s="125"/>
      <c r="Q17" s="126"/>
      <c r="R17" s="127"/>
      <c r="S17" s="116"/>
      <c r="T17" s="116"/>
      <c r="U17" s="116"/>
      <c r="V17" s="116"/>
      <c r="W17" s="116"/>
      <c r="X17" s="117"/>
      <c r="Y17" s="128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17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17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17"/>
      <c r="BR17" s="105"/>
      <c r="BS17" s="105"/>
      <c r="BT17" s="105"/>
      <c r="BU17" s="118"/>
      <c r="BV17" s="105"/>
      <c r="BW17" s="105"/>
      <c r="BX17" s="105"/>
      <c r="BY17" s="105"/>
      <c r="BZ17" s="119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EA17" s="92"/>
      <c r="EB17" s="92"/>
      <c r="EC17" s="92"/>
      <c r="ED17" s="92"/>
      <c r="EE17" s="92"/>
      <c r="EF17" s="92"/>
      <c r="EG17" s="92"/>
      <c r="EH17" s="92"/>
      <c r="EI17" s="92"/>
      <c r="EJ17" s="92"/>
      <c r="EK17" s="92"/>
      <c r="EL17" s="92"/>
      <c r="EM17" s="92"/>
      <c r="EN17" s="92"/>
      <c r="EO17" s="92"/>
      <c r="EP17" s="92"/>
      <c r="EQ17" s="92"/>
      <c r="ER17" s="92"/>
      <c r="ES17" s="92"/>
      <c r="ET17" s="92"/>
      <c r="EU17" s="92"/>
      <c r="EV17" s="92"/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2"/>
      <c r="FH17" s="92"/>
      <c r="FI17" s="92"/>
      <c r="FJ17" s="92"/>
      <c r="FK17" s="92"/>
      <c r="FL17" s="92"/>
      <c r="FM17" s="92"/>
      <c r="FN17" s="92"/>
      <c r="FO17" s="92"/>
      <c r="FP17" s="92"/>
      <c r="FQ17" s="92"/>
      <c r="FR17" s="92"/>
      <c r="FS17" s="92"/>
      <c r="FT17" s="92"/>
      <c r="FU17" s="92"/>
      <c r="FV17" s="92"/>
      <c r="FW17" s="93"/>
      <c r="FX17" s="76"/>
      <c r="FY17" s="76"/>
      <c r="FZ17" s="76"/>
      <c r="GA17" s="76"/>
    </row>
    <row r="18" ht="16.5" customHeight="1" outlineLevel="1">
      <c r="A18" s="76"/>
      <c r="B18" s="77" t="s">
        <v>49</v>
      </c>
      <c r="C18" s="78" t="s">
        <v>50</v>
      </c>
      <c r="D18" s="78" t="s">
        <v>51</v>
      </c>
      <c r="E18" s="79">
        <v>45802.0</v>
      </c>
      <c r="F18" s="79">
        <v>45815.0</v>
      </c>
      <c r="G18" s="80">
        <f t="shared" si="15"/>
        <v>12</v>
      </c>
      <c r="H18" s="80"/>
      <c r="I18" s="81">
        <v>1.0</v>
      </c>
      <c r="J18" s="131"/>
      <c r="K18" s="132"/>
      <c r="L18" s="133"/>
      <c r="M18" s="133"/>
      <c r="N18" s="134"/>
      <c r="O18" s="135"/>
      <c r="P18" s="136"/>
      <c r="Q18" s="127"/>
      <c r="R18" s="127"/>
      <c r="S18" s="116"/>
      <c r="T18" s="116"/>
      <c r="U18" s="116"/>
      <c r="V18" s="116"/>
      <c r="W18" s="116"/>
      <c r="X18" s="117"/>
      <c r="Y18" s="128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17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17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5"/>
      <c r="BQ18" s="117"/>
      <c r="BR18" s="105"/>
      <c r="BS18" s="105"/>
      <c r="BT18" s="105"/>
      <c r="BU18" s="105"/>
      <c r="BV18" s="89"/>
      <c r="BW18" s="89"/>
      <c r="BX18" s="89"/>
      <c r="BY18" s="89"/>
      <c r="BZ18" s="10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EA18" s="92"/>
      <c r="EB18" s="92"/>
      <c r="EC18" s="92"/>
      <c r="ED18" s="92"/>
      <c r="EE18" s="92"/>
      <c r="EF18" s="92"/>
      <c r="EG18" s="92"/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2"/>
      <c r="ET18" s="92"/>
      <c r="EU18" s="92"/>
      <c r="EV18" s="92"/>
      <c r="EW18" s="92"/>
      <c r="EX18" s="92"/>
      <c r="EY18" s="92"/>
      <c r="EZ18" s="92"/>
      <c r="FA18" s="92"/>
      <c r="FB18" s="92"/>
      <c r="FC18" s="92"/>
      <c r="FD18" s="92"/>
      <c r="FE18" s="92"/>
      <c r="FF18" s="92"/>
      <c r="FG18" s="92"/>
      <c r="FH18" s="92"/>
      <c r="FI18" s="92"/>
      <c r="FJ18" s="92"/>
      <c r="FK18" s="92"/>
      <c r="FL18" s="92"/>
      <c r="FM18" s="92"/>
      <c r="FN18" s="92"/>
      <c r="FO18" s="92"/>
      <c r="FP18" s="92"/>
      <c r="FQ18" s="92"/>
      <c r="FR18" s="92"/>
      <c r="FS18" s="92"/>
      <c r="FT18" s="92"/>
      <c r="FU18" s="92"/>
      <c r="FV18" s="92"/>
      <c r="FW18" s="93"/>
      <c r="FX18" s="76"/>
      <c r="FY18" s="76"/>
      <c r="FZ18" s="76"/>
      <c r="GA18" s="76"/>
    </row>
    <row r="19" ht="16.5" customHeight="1" outlineLevel="1">
      <c r="A19" s="76"/>
      <c r="B19" s="77" t="s">
        <v>52</v>
      </c>
      <c r="C19" s="78" t="s">
        <v>53</v>
      </c>
      <c r="D19" s="78" t="s">
        <v>51</v>
      </c>
      <c r="E19" s="79">
        <v>45802.0</v>
      </c>
      <c r="F19" s="79">
        <v>45815.0</v>
      </c>
      <c r="G19" s="80">
        <f t="shared" si="15"/>
        <v>12</v>
      </c>
      <c r="H19" s="80"/>
      <c r="I19" s="81">
        <v>1.0</v>
      </c>
      <c r="J19" s="131"/>
      <c r="K19" s="132"/>
      <c r="L19" s="133"/>
      <c r="M19" s="133"/>
      <c r="N19" s="134"/>
      <c r="O19" s="135"/>
      <c r="P19" s="136"/>
      <c r="Q19" s="127"/>
      <c r="R19" s="127"/>
      <c r="S19" s="116"/>
      <c r="T19" s="116"/>
      <c r="U19" s="116"/>
      <c r="V19" s="116"/>
      <c r="W19" s="116"/>
      <c r="X19" s="117"/>
      <c r="Y19" s="128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17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17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17"/>
      <c r="BR19" s="105"/>
      <c r="BS19" s="105"/>
      <c r="BT19" s="105"/>
      <c r="BU19" s="105"/>
      <c r="BV19" s="105"/>
      <c r="BW19" s="105"/>
      <c r="BX19" s="105"/>
      <c r="BY19" s="105"/>
      <c r="BZ19" s="10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  <c r="DQ19" s="92"/>
      <c r="DR19" s="92"/>
      <c r="DS19" s="92"/>
      <c r="DT19" s="92"/>
      <c r="DU19" s="92"/>
      <c r="DV19" s="92"/>
      <c r="DW19" s="92"/>
      <c r="DX19" s="92"/>
      <c r="DY19" s="92"/>
      <c r="EA19" s="92"/>
      <c r="EB19" s="92"/>
      <c r="EC19" s="92"/>
      <c r="ED19" s="92"/>
      <c r="EE19" s="92"/>
      <c r="EF19" s="92"/>
      <c r="EG19" s="92"/>
      <c r="EH19" s="92"/>
      <c r="EI19" s="92"/>
      <c r="EJ19" s="92"/>
      <c r="EK19" s="92"/>
      <c r="EL19" s="92"/>
      <c r="EM19" s="92"/>
      <c r="EN19" s="92"/>
      <c r="EO19" s="92"/>
      <c r="EP19" s="92"/>
      <c r="EQ19" s="92"/>
      <c r="ER19" s="92"/>
      <c r="ES19" s="92"/>
      <c r="ET19" s="92"/>
      <c r="EU19" s="92"/>
      <c r="EV19" s="92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2"/>
      <c r="FH19" s="92"/>
      <c r="FI19" s="92"/>
      <c r="FJ19" s="92"/>
      <c r="FK19" s="92"/>
      <c r="FL19" s="92"/>
      <c r="FM19" s="92"/>
      <c r="FN19" s="92"/>
      <c r="FO19" s="92"/>
      <c r="FP19" s="92"/>
      <c r="FQ19" s="92"/>
      <c r="FR19" s="92"/>
      <c r="FS19" s="92"/>
      <c r="FT19" s="92"/>
      <c r="FU19" s="92"/>
      <c r="FV19" s="92"/>
      <c r="FW19" s="93"/>
      <c r="FX19" s="76"/>
      <c r="FY19" s="76"/>
      <c r="FZ19" s="76"/>
      <c r="GA19" s="76"/>
    </row>
    <row r="20" ht="17.25" customHeight="1" outlineLevel="1">
      <c r="A20" s="76"/>
      <c r="B20" s="77" t="s">
        <v>54</v>
      </c>
      <c r="C20" s="78" t="s">
        <v>55</v>
      </c>
      <c r="D20" s="78" t="s">
        <v>56</v>
      </c>
      <c r="E20" s="79">
        <v>45802.0</v>
      </c>
      <c r="F20" s="79">
        <v>45815.0</v>
      </c>
      <c r="G20" s="80">
        <f t="shared" si="15"/>
        <v>12</v>
      </c>
      <c r="H20" s="80"/>
      <c r="I20" s="137">
        <v>1.0</v>
      </c>
      <c r="J20" s="131"/>
      <c r="K20" s="132"/>
      <c r="L20" s="127"/>
      <c r="M20" s="127"/>
      <c r="N20" s="116"/>
      <c r="O20" s="131"/>
      <c r="P20" s="132"/>
      <c r="Q20" s="127"/>
      <c r="R20" s="127"/>
      <c r="S20" s="116"/>
      <c r="T20" s="116"/>
      <c r="U20" s="116"/>
      <c r="V20" s="116"/>
      <c r="W20" s="116"/>
      <c r="X20" s="117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17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17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17"/>
      <c r="BR20" s="105"/>
      <c r="BS20" s="105"/>
      <c r="BT20" s="105"/>
      <c r="BU20" s="105"/>
      <c r="BV20" s="105"/>
      <c r="BW20" s="105"/>
      <c r="BX20" s="105"/>
      <c r="BY20" s="105"/>
      <c r="BZ20" s="10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2"/>
      <c r="DC20" s="92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  <c r="DQ20" s="92"/>
      <c r="DR20" s="92"/>
      <c r="DS20" s="92"/>
      <c r="DT20" s="92"/>
      <c r="DU20" s="92"/>
      <c r="DV20" s="92"/>
      <c r="DW20" s="92"/>
      <c r="DX20" s="92"/>
      <c r="DY20" s="92"/>
      <c r="EA20" s="92"/>
      <c r="EB20" s="92"/>
      <c r="EC20" s="92"/>
      <c r="ED20" s="92"/>
      <c r="EE20" s="92"/>
      <c r="EF20" s="92"/>
      <c r="EG20" s="92"/>
      <c r="EH20" s="92"/>
      <c r="EI20" s="92"/>
      <c r="EJ20" s="92"/>
      <c r="EK20" s="92"/>
      <c r="EL20" s="92"/>
      <c r="EM20" s="92"/>
      <c r="EN20" s="92"/>
      <c r="EO20" s="92"/>
      <c r="EP20" s="92"/>
      <c r="EQ20" s="92"/>
      <c r="ER20" s="92"/>
      <c r="ES20" s="92"/>
      <c r="ET20" s="92"/>
      <c r="EU20" s="92"/>
      <c r="EV20" s="92"/>
      <c r="EW20" s="92"/>
      <c r="EX20" s="92"/>
      <c r="EY20" s="92"/>
      <c r="EZ20" s="92"/>
      <c r="FA20" s="92"/>
      <c r="FB20" s="92"/>
      <c r="FC20" s="92"/>
      <c r="FD20" s="92"/>
      <c r="FE20" s="92"/>
      <c r="FF20" s="92"/>
      <c r="FG20" s="92"/>
      <c r="FH20" s="92"/>
      <c r="FI20" s="92"/>
      <c r="FJ20" s="92"/>
      <c r="FK20" s="92"/>
      <c r="FL20" s="92"/>
      <c r="FM20" s="92"/>
      <c r="FN20" s="92"/>
      <c r="FO20" s="92"/>
      <c r="FP20" s="92"/>
      <c r="FQ20" s="92"/>
      <c r="FR20" s="92"/>
      <c r="FS20" s="92"/>
      <c r="FT20" s="92"/>
      <c r="FU20" s="92"/>
      <c r="FV20" s="92"/>
      <c r="FW20" s="93"/>
      <c r="FX20" s="76"/>
      <c r="FY20" s="76"/>
      <c r="FZ20" s="76"/>
      <c r="GA20" s="76"/>
    </row>
    <row r="21" ht="17.25" customHeight="1" outlineLevel="1">
      <c r="A21" s="76"/>
      <c r="B21" s="77" t="s">
        <v>57</v>
      </c>
      <c r="C21" s="78" t="s">
        <v>58</v>
      </c>
      <c r="D21" s="78" t="s">
        <v>56</v>
      </c>
      <c r="E21" s="79">
        <v>45816.0</v>
      </c>
      <c r="F21" s="79">
        <v>45829.0</v>
      </c>
      <c r="G21" s="80">
        <f t="shared" si="15"/>
        <v>13</v>
      </c>
      <c r="H21" s="80" t="s">
        <v>59</v>
      </c>
      <c r="I21" s="137">
        <v>1.0</v>
      </c>
      <c r="J21" s="138"/>
      <c r="K21" s="139"/>
      <c r="L21" s="140"/>
      <c r="M21" s="140"/>
      <c r="N21" s="105"/>
      <c r="O21" s="138"/>
      <c r="P21" s="139"/>
      <c r="Q21" s="140"/>
      <c r="R21" s="140"/>
      <c r="S21" s="105"/>
      <c r="T21" s="105"/>
      <c r="U21" s="105"/>
      <c r="V21" s="105"/>
      <c r="W21" s="105"/>
      <c r="X21" s="117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7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17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17"/>
      <c r="BR21" s="105"/>
      <c r="BS21" s="105"/>
      <c r="BT21" s="105"/>
      <c r="BU21" s="105"/>
      <c r="BV21" s="105"/>
      <c r="BW21" s="105"/>
      <c r="BX21" s="105"/>
      <c r="BY21" s="105"/>
      <c r="BZ21" s="10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92"/>
      <c r="CO21" s="92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  <c r="DD21" s="92"/>
      <c r="DE21" s="92"/>
      <c r="DF21" s="92"/>
      <c r="DG21" s="92"/>
      <c r="DH21" s="92"/>
      <c r="DI21" s="92"/>
      <c r="DJ21" s="92"/>
      <c r="DK21" s="92"/>
      <c r="DL21" s="92"/>
      <c r="DM21" s="92"/>
      <c r="DN21" s="92"/>
      <c r="DO21" s="92"/>
      <c r="DP21" s="92"/>
      <c r="DQ21" s="92"/>
      <c r="DR21" s="92"/>
      <c r="DS21" s="92"/>
      <c r="DT21" s="92"/>
      <c r="DU21" s="92"/>
      <c r="DV21" s="92"/>
      <c r="DW21" s="92"/>
      <c r="DX21" s="92"/>
      <c r="DY21" s="92"/>
      <c r="EA21" s="92"/>
      <c r="EB21" s="92"/>
      <c r="EC21" s="92"/>
      <c r="ED21" s="92"/>
      <c r="EE21" s="92"/>
      <c r="EF21" s="92"/>
      <c r="EG21" s="92"/>
      <c r="EH21" s="92"/>
      <c r="EI21" s="92"/>
      <c r="EJ21" s="92"/>
      <c r="EK21" s="92"/>
      <c r="EL21" s="92"/>
      <c r="EM21" s="92"/>
      <c r="EN21" s="92"/>
      <c r="EO21" s="92"/>
      <c r="EP21" s="92"/>
      <c r="EQ21" s="92"/>
      <c r="ER21" s="92"/>
      <c r="ES21" s="92"/>
      <c r="ET21" s="92"/>
      <c r="EU21" s="92"/>
      <c r="EV21" s="92"/>
      <c r="EW21" s="92"/>
      <c r="EX21" s="92"/>
      <c r="EY21" s="92"/>
      <c r="EZ21" s="92"/>
      <c r="FA21" s="92"/>
      <c r="FB21" s="92"/>
      <c r="FC21" s="92"/>
      <c r="FD21" s="92"/>
      <c r="FE21" s="92"/>
      <c r="FF21" s="92"/>
      <c r="FG21" s="92"/>
      <c r="FH21" s="92"/>
      <c r="FI21" s="92"/>
      <c r="FJ21" s="92"/>
      <c r="FK21" s="92"/>
      <c r="FL21" s="92"/>
      <c r="FM21" s="92"/>
      <c r="FN21" s="92"/>
      <c r="FO21" s="92"/>
      <c r="FP21" s="92"/>
      <c r="FQ21" s="92"/>
      <c r="FR21" s="92"/>
      <c r="FS21" s="92"/>
      <c r="FT21" s="92"/>
      <c r="FU21" s="92"/>
      <c r="FV21" s="92"/>
      <c r="FW21" s="93"/>
      <c r="FX21" s="76"/>
      <c r="FY21" s="76"/>
      <c r="FZ21" s="76"/>
      <c r="GA21" s="76"/>
    </row>
    <row r="22" ht="17.25" customHeight="1" outlineLevel="1">
      <c r="A22" s="76"/>
      <c r="B22" s="77" t="s">
        <v>60</v>
      </c>
      <c r="C22" s="78" t="s">
        <v>61</v>
      </c>
      <c r="D22" s="78" t="s">
        <v>62</v>
      </c>
      <c r="E22" s="94">
        <v>45830.0</v>
      </c>
      <c r="F22" s="94">
        <v>45843.0</v>
      </c>
      <c r="G22" s="80">
        <f t="shared" si="15"/>
        <v>13</v>
      </c>
      <c r="H22" s="80" t="s">
        <v>63</v>
      </c>
      <c r="I22" s="137">
        <v>1.0</v>
      </c>
      <c r="J22" s="138"/>
      <c r="K22" s="139"/>
      <c r="L22" s="140"/>
      <c r="M22" s="140"/>
      <c r="N22" s="105"/>
      <c r="O22" s="138"/>
      <c r="P22" s="139"/>
      <c r="Q22" s="140"/>
      <c r="R22" s="140"/>
      <c r="S22" s="105"/>
      <c r="T22" s="105"/>
      <c r="U22" s="105"/>
      <c r="V22" s="105"/>
      <c r="W22" s="105"/>
      <c r="X22" s="117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17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7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17"/>
      <c r="BR22" s="105"/>
      <c r="BS22" s="105"/>
      <c r="BT22" s="105"/>
      <c r="BU22" s="105"/>
      <c r="BV22" s="105"/>
      <c r="BW22" s="105"/>
      <c r="BX22" s="105"/>
      <c r="BY22" s="105"/>
      <c r="BZ22" s="10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92"/>
      <c r="CO22" s="92"/>
      <c r="CP22" s="92"/>
      <c r="CQ22" s="92"/>
      <c r="CR22" s="92"/>
      <c r="CS22" s="92"/>
      <c r="CT22" s="92"/>
      <c r="CU22" s="92"/>
      <c r="CV22" s="92"/>
      <c r="CW22" s="92"/>
      <c r="CX22" s="92"/>
      <c r="CY22" s="92"/>
      <c r="CZ22" s="92"/>
      <c r="DA22" s="92"/>
      <c r="DB22" s="92"/>
      <c r="DC22" s="92"/>
      <c r="DD22" s="92"/>
      <c r="DE22" s="92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EA22" s="92"/>
      <c r="EB22" s="92"/>
      <c r="EC22" s="92"/>
      <c r="ED22" s="92"/>
      <c r="EE22" s="92"/>
      <c r="EF22" s="92"/>
      <c r="EG22" s="92"/>
      <c r="EH22" s="92"/>
      <c r="EI22" s="92"/>
      <c r="EJ22" s="92"/>
      <c r="EK22" s="92"/>
      <c r="EL22" s="92"/>
      <c r="EM22" s="92"/>
      <c r="EN22" s="92"/>
      <c r="EO22" s="92"/>
      <c r="EP22" s="92"/>
      <c r="EQ22" s="92"/>
      <c r="ER22" s="92"/>
      <c r="ES22" s="92"/>
      <c r="ET22" s="92"/>
      <c r="EU22" s="92"/>
      <c r="EV22" s="92"/>
      <c r="EW22" s="92"/>
      <c r="EX22" s="92"/>
      <c r="EY22" s="92"/>
      <c r="EZ22" s="92"/>
      <c r="FA22" s="92"/>
      <c r="FB22" s="92"/>
      <c r="FC22" s="92"/>
      <c r="FD22" s="92"/>
      <c r="FE22" s="92"/>
      <c r="FF22" s="92"/>
      <c r="FG22" s="92"/>
      <c r="FH22" s="92"/>
      <c r="FI22" s="92"/>
      <c r="FJ22" s="92"/>
      <c r="FK22" s="92"/>
      <c r="FL22" s="92"/>
      <c r="FM22" s="92"/>
      <c r="FN22" s="92"/>
      <c r="FO22" s="92"/>
      <c r="FP22" s="92"/>
      <c r="FQ22" s="92"/>
      <c r="FR22" s="92"/>
      <c r="FS22" s="92"/>
      <c r="FT22" s="92"/>
      <c r="FU22" s="92"/>
      <c r="FV22" s="92"/>
      <c r="FW22" s="93"/>
      <c r="FX22" s="76"/>
      <c r="FY22" s="76"/>
      <c r="FZ22" s="76"/>
      <c r="GA22" s="76"/>
    </row>
    <row r="23" ht="17.25" customHeight="1" outlineLevel="1">
      <c r="A23" s="76"/>
      <c r="B23" s="77" t="s">
        <v>64</v>
      </c>
      <c r="C23" s="78" t="s">
        <v>65</v>
      </c>
      <c r="D23" s="78" t="s">
        <v>66</v>
      </c>
      <c r="E23" s="79">
        <v>45844.0</v>
      </c>
      <c r="F23" s="79">
        <v>45857.0</v>
      </c>
      <c r="G23" s="80">
        <f t="shared" si="15"/>
        <v>13</v>
      </c>
      <c r="H23" s="80" t="s">
        <v>67</v>
      </c>
      <c r="I23" s="137">
        <v>1.0</v>
      </c>
      <c r="J23" s="138"/>
      <c r="K23" s="139"/>
      <c r="L23" s="140"/>
      <c r="M23" s="140"/>
      <c r="N23" s="105"/>
      <c r="O23" s="138"/>
      <c r="P23" s="139"/>
      <c r="Q23" s="140"/>
      <c r="R23" s="140"/>
      <c r="S23" s="105"/>
      <c r="T23" s="105"/>
      <c r="U23" s="105"/>
      <c r="V23" s="105"/>
      <c r="W23" s="105"/>
      <c r="X23" s="117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17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17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7"/>
      <c r="BR23" s="105"/>
      <c r="BS23" s="105"/>
      <c r="BT23" s="105"/>
      <c r="BU23" s="105"/>
      <c r="BV23" s="105"/>
      <c r="BW23" s="105"/>
      <c r="BX23" s="105"/>
      <c r="BY23" s="105"/>
      <c r="BZ23" s="10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3"/>
      <c r="FX23" s="76"/>
      <c r="FY23" s="76"/>
      <c r="FZ23" s="76"/>
      <c r="GA23" s="76"/>
    </row>
    <row r="24" ht="17.25" customHeight="1" outlineLevel="1">
      <c r="A24" s="76"/>
      <c r="B24" s="77" t="s">
        <v>68</v>
      </c>
      <c r="C24" s="78" t="s">
        <v>69</v>
      </c>
      <c r="D24" s="78" t="s">
        <v>51</v>
      </c>
      <c r="E24" s="141">
        <v>45816.0</v>
      </c>
      <c r="F24" s="141">
        <v>45829.0</v>
      </c>
      <c r="G24" s="80">
        <f t="shared" si="15"/>
        <v>13</v>
      </c>
      <c r="H24" s="80"/>
      <c r="I24" s="81">
        <v>1.0</v>
      </c>
      <c r="J24" s="138"/>
      <c r="K24" s="139"/>
      <c r="L24" s="140"/>
      <c r="M24" s="140"/>
      <c r="N24" s="105"/>
      <c r="O24" s="138"/>
      <c r="P24" s="139"/>
      <c r="Q24" s="140"/>
      <c r="R24" s="140"/>
      <c r="S24" s="105"/>
      <c r="T24" s="105"/>
      <c r="U24" s="105"/>
      <c r="V24" s="105"/>
      <c r="W24" s="105"/>
      <c r="X24" s="117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7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17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17"/>
      <c r="BR24" s="105"/>
      <c r="BS24" s="105"/>
      <c r="BT24" s="105"/>
      <c r="BU24" s="105"/>
      <c r="BV24" s="105"/>
      <c r="BW24" s="105"/>
      <c r="BX24" s="105"/>
      <c r="BY24" s="105"/>
      <c r="BZ24" s="10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92"/>
      <c r="CO24" s="92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/>
      <c r="DJ24" s="92"/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/>
      <c r="DX24" s="92"/>
      <c r="DY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/>
      <c r="EL24" s="92"/>
      <c r="EM24" s="92"/>
      <c r="EN24" s="92"/>
      <c r="EO24" s="92"/>
      <c r="EP24" s="92"/>
      <c r="EQ24" s="92"/>
      <c r="ER24" s="92"/>
      <c r="ES24" s="92"/>
      <c r="ET24" s="92"/>
      <c r="EU24" s="92"/>
      <c r="EV24" s="92"/>
      <c r="EW24" s="92"/>
      <c r="EX24" s="92"/>
      <c r="EY24" s="92"/>
      <c r="EZ24" s="92"/>
      <c r="FA24" s="92"/>
      <c r="FB24" s="92"/>
      <c r="FC24" s="92"/>
      <c r="FD24" s="92"/>
      <c r="FE24" s="92"/>
      <c r="FF24" s="92"/>
      <c r="FG24" s="92"/>
      <c r="FH24" s="92"/>
      <c r="FI24" s="92"/>
      <c r="FJ24" s="92"/>
      <c r="FK24" s="92"/>
      <c r="FL24" s="92"/>
      <c r="FM24" s="92"/>
      <c r="FN24" s="92"/>
      <c r="FO24" s="92"/>
      <c r="FP24" s="92"/>
      <c r="FQ24" s="92"/>
      <c r="FR24" s="92"/>
      <c r="FS24" s="92"/>
      <c r="FT24" s="92"/>
      <c r="FU24" s="92"/>
      <c r="FV24" s="92"/>
      <c r="FW24" s="93"/>
      <c r="FX24" s="76"/>
      <c r="FY24" s="76"/>
      <c r="FZ24" s="76"/>
      <c r="GA24" s="76"/>
    </row>
    <row r="25" ht="17.25" customHeight="1" outlineLevel="1">
      <c r="A25" s="76"/>
      <c r="B25" s="77" t="s">
        <v>70</v>
      </c>
      <c r="C25" s="78" t="s">
        <v>71</v>
      </c>
      <c r="D25" s="78" t="s">
        <v>51</v>
      </c>
      <c r="E25" s="141">
        <v>45830.0</v>
      </c>
      <c r="F25" s="141">
        <v>45843.0</v>
      </c>
      <c r="G25" s="80">
        <f t="shared" si="15"/>
        <v>13</v>
      </c>
      <c r="H25" s="80"/>
      <c r="I25" s="81">
        <v>1.0</v>
      </c>
      <c r="J25" s="138"/>
      <c r="K25" s="139"/>
      <c r="L25" s="140"/>
      <c r="M25" s="140"/>
      <c r="N25" s="105"/>
      <c r="O25" s="138"/>
      <c r="P25" s="139"/>
      <c r="Q25" s="140"/>
      <c r="R25" s="140"/>
      <c r="S25" s="105"/>
      <c r="T25" s="105"/>
      <c r="U25" s="105"/>
      <c r="V25" s="105"/>
      <c r="W25" s="105"/>
      <c r="X25" s="117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7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17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17"/>
      <c r="BR25" s="105"/>
      <c r="BS25" s="105"/>
      <c r="BT25" s="105"/>
      <c r="BU25" s="105"/>
      <c r="BV25" s="105"/>
      <c r="BW25" s="105"/>
      <c r="BX25" s="105"/>
      <c r="BY25" s="105"/>
      <c r="BZ25" s="10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3"/>
      <c r="FX25" s="76"/>
      <c r="FY25" s="76"/>
      <c r="FZ25" s="76"/>
      <c r="GA25" s="76"/>
    </row>
    <row r="26" ht="17.25" customHeight="1" outlineLevel="1">
      <c r="A26" s="76"/>
      <c r="B26" s="77" t="s">
        <v>72</v>
      </c>
      <c r="C26" s="78" t="s">
        <v>73</v>
      </c>
      <c r="D26" s="78" t="s">
        <v>43</v>
      </c>
      <c r="E26" s="141">
        <v>45816.0</v>
      </c>
      <c r="F26" s="141">
        <v>45829.0</v>
      </c>
      <c r="G26" s="80">
        <f t="shared" si="15"/>
        <v>13</v>
      </c>
      <c r="H26" s="80"/>
      <c r="I26" s="81">
        <v>1.0</v>
      </c>
      <c r="J26" s="138"/>
      <c r="K26" s="139"/>
      <c r="L26" s="140"/>
      <c r="M26" s="140"/>
      <c r="N26" s="105"/>
      <c r="O26" s="138"/>
      <c r="P26" s="139"/>
      <c r="Q26" s="140"/>
      <c r="R26" s="140"/>
      <c r="S26" s="105"/>
      <c r="T26" s="105"/>
      <c r="U26" s="105"/>
      <c r="V26" s="105"/>
      <c r="W26" s="105"/>
      <c r="X26" s="117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7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17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17"/>
      <c r="BR26" s="105"/>
      <c r="BS26" s="105"/>
      <c r="BT26" s="105"/>
      <c r="BU26" s="105"/>
      <c r="BV26" s="105"/>
      <c r="BW26" s="105"/>
      <c r="BX26" s="105"/>
      <c r="BY26" s="105"/>
      <c r="BZ26" s="10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92"/>
      <c r="CO26" s="92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/>
      <c r="DY26" s="92"/>
      <c r="EA26" s="92"/>
      <c r="EB26" s="92"/>
      <c r="EC26" s="92"/>
      <c r="ED26" s="92"/>
      <c r="EE26" s="92"/>
      <c r="EF26" s="92"/>
      <c r="EG26" s="92"/>
      <c r="EH26" s="92"/>
      <c r="EI26" s="92"/>
      <c r="EJ26" s="92"/>
      <c r="EK26" s="92"/>
      <c r="EL26" s="92"/>
      <c r="EM26" s="92"/>
      <c r="EN26" s="92"/>
      <c r="EO26" s="92"/>
      <c r="EP26" s="92"/>
      <c r="EQ26" s="92"/>
      <c r="ER26" s="92"/>
      <c r="ES26" s="92"/>
      <c r="ET26" s="92"/>
      <c r="EU26" s="92"/>
      <c r="EV26" s="92"/>
      <c r="EW26" s="92"/>
      <c r="EX26" s="92"/>
      <c r="EY26" s="92"/>
      <c r="EZ26" s="92"/>
      <c r="FA26" s="92"/>
      <c r="FB26" s="92"/>
      <c r="FC26" s="92"/>
      <c r="FD26" s="92"/>
      <c r="FE26" s="92"/>
      <c r="FF26" s="92"/>
      <c r="FG26" s="92"/>
      <c r="FH26" s="92"/>
      <c r="FI26" s="92"/>
      <c r="FJ26" s="92"/>
      <c r="FK26" s="92"/>
      <c r="FL26" s="92"/>
      <c r="FM26" s="92"/>
      <c r="FN26" s="92"/>
      <c r="FO26" s="92"/>
      <c r="FP26" s="92"/>
      <c r="FQ26" s="92"/>
      <c r="FR26" s="92"/>
      <c r="FS26" s="92"/>
      <c r="FT26" s="92"/>
      <c r="FU26" s="92"/>
      <c r="FV26" s="92"/>
      <c r="FW26" s="93"/>
      <c r="FX26" s="76"/>
      <c r="FY26" s="76"/>
      <c r="FZ26" s="76"/>
      <c r="GA26" s="76"/>
    </row>
    <row r="27" ht="17.25" customHeight="1" outlineLevel="1">
      <c r="A27" s="76"/>
      <c r="B27" s="77" t="s">
        <v>74</v>
      </c>
      <c r="C27" s="78" t="s">
        <v>75</v>
      </c>
      <c r="D27" s="78" t="s">
        <v>76</v>
      </c>
      <c r="E27" s="141">
        <v>45830.0</v>
      </c>
      <c r="F27" s="141">
        <v>45843.0</v>
      </c>
      <c r="G27" s="80">
        <f t="shared" si="15"/>
        <v>13</v>
      </c>
      <c r="H27" s="80" t="s">
        <v>73</v>
      </c>
      <c r="I27" s="81">
        <v>1.0</v>
      </c>
      <c r="J27" s="138"/>
      <c r="K27" s="139"/>
      <c r="L27" s="140"/>
      <c r="M27" s="140"/>
      <c r="N27" s="105"/>
      <c r="O27" s="138"/>
      <c r="P27" s="139"/>
      <c r="Q27" s="140"/>
      <c r="R27" s="140"/>
      <c r="S27" s="105"/>
      <c r="T27" s="105"/>
      <c r="U27" s="105"/>
      <c r="V27" s="105"/>
      <c r="W27" s="105"/>
      <c r="X27" s="117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17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7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17"/>
      <c r="BR27" s="105"/>
      <c r="BS27" s="105"/>
      <c r="BT27" s="105"/>
      <c r="BU27" s="105"/>
      <c r="BV27" s="105"/>
      <c r="BW27" s="105"/>
      <c r="BX27" s="105"/>
      <c r="BY27" s="105"/>
      <c r="BZ27" s="10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92"/>
      <c r="CO27" s="92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EA27" s="92"/>
      <c r="EB27" s="92"/>
      <c r="EC27" s="92"/>
      <c r="ED27" s="92"/>
      <c r="EE27" s="92"/>
      <c r="EF27" s="92"/>
      <c r="EG27" s="92"/>
      <c r="EH27" s="92"/>
      <c r="EI27" s="92"/>
      <c r="EJ27" s="92"/>
      <c r="EK27" s="92"/>
      <c r="EL27" s="92"/>
      <c r="EM27" s="92"/>
      <c r="EN27" s="92"/>
      <c r="EO27" s="92"/>
      <c r="EP27" s="92"/>
      <c r="EQ27" s="92"/>
      <c r="ER27" s="92"/>
      <c r="ES27" s="92"/>
      <c r="ET27" s="92"/>
      <c r="EU27" s="92"/>
      <c r="EV27" s="92"/>
      <c r="EW27" s="92"/>
      <c r="EX27" s="92"/>
      <c r="EY27" s="92"/>
      <c r="EZ27" s="92"/>
      <c r="FA27" s="92"/>
      <c r="FB27" s="92"/>
      <c r="FC27" s="92"/>
      <c r="FD27" s="92"/>
      <c r="FE27" s="92"/>
      <c r="FF27" s="92"/>
      <c r="FG27" s="92"/>
      <c r="FH27" s="92"/>
      <c r="FI27" s="92"/>
      <c r="FJ27" s="92"/>
      <c r="FK27" s="92"/>
      <c r="FL27" s="92"/>
      <c r="FM27" s="92"/>
      <c r="FN27" s="92"/>
      <c r="FO27" s="92"/>
      <c r="FP27" s="92"/>
      <c r="FQ27" s="92"/>
      <c r="FR27" s="92"/>
      <c r="FS27" s="92"/>
      <c r="FT27" s="92"/>
      <c r="FU27" s="92"/>
      <c r="FV27" s="92"/>
      <c r="FW27" s="93"/>
      <c r="FX27" s="76"/>
      <c r="FY27" s="76"/>
      <c r="FZ27" s="76"/>
      <c r="GA27" s="76"/>
    </row>
    <row r="28" ht="17.25" customHeight="1" outlineLevel="1">
      <c r="A28" s="76"/>
      <c r="B28" s="77" t="s">
        <v>77</v>
      </c>
      <c r="C28" s="78" t="s">
        <v>78</v>
      </c>
      <c r="D28" s="78" t="s">
        <v>43</v>
      </c>
      <c r="E28" s="141">
        <v>45844.0</v>
      </c>
      <c r="F28" s="141">
        <v>45857.0</v>
      </c>
      <c r="G28" s="80">
        <f t="shared" si="15"/>
        <v>13</v>
      </c>
      <c r="H28" s="80" t="s">
        <v>75</v>
      </c>
      <c r="I28" s="81">
        <v>1.0</v>
      </c>
      <c r="J28" s="138"/>
      <c r="K28" s="139"/>
      <c r="L28" s="140"/>
      <c r="M28" s="140"/>
      <c r="N28" s="105"/>
      <c r="O28" s="138"/>
      <c r="P28" s="139"/>
      <c r="Q28" s="140"/>
      <c r="R28" s="140"/>
      <c r="S28" s="105"/>
      <c r="T28" s="105"/>
      <c r="U28" s="105"/>
      <c r="V28" s="105"/>
      <c r="W28" s="105"/>
      <c r="X28" s="117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17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7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7"/>
      <c r="BR28" s="105"/>
      <c r="BS28" s="105"/>
      <c r="BT28" s="105"/>
      <c r="BU28" s="105"/>
      <c r="BV28" s="105"/>
      <c r="BW28" s="105"/>
      <c r="BX28" s="105"/>
      <c r="BY28" s="105"/>
      <c r="BZ28" s="10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EA28" s="92"/>
      <c r="EB28" s="92"/>
      <c r="EC28" s="92"/>
      <c r="ED28" s="92"/>
      <c r="EE28" s="92"/>
      <c r="EF28" s="92"/>
      <c r="EG28" s="92"/>
      <c r="EH28" s="92"/>
      <c r="EI28" s="92"/>
      <c r="EJ28" s="92"/>
      <c r="EK28" s="92"/>
      <c r="EL28" s="92"/>
      <c r="EM28" s="92"/>
      <c r="EN28" s="92"/>
      <c r="EO28" s="92"/>
      <c r="EP28" s="92"/>
      <c r="EQ28" s="92"/>
      <c r="ER28" s="92"/>
      <c r="ES28" s="92"/>
      <c r="ET28" s="92"/>
      <c r="EU28" s="92"/>
      <c r="EV28" s="92"/>
      <c r="EW28" s="92"/>
      <c r="EX28" s="92"/>
      <c r="EY28" s="92"/>
      <c r="EZ28" s="92"/>
      <c r="FA28" s="92"/>
      <c r="FB28" s="92"/>
      <c r="FC28" s="92"/>
      <c r="FD28" s="92"/>
      <c r="FE28" s="92"/>
      <c r="FF28" s="92"/>
      <c r="FG28" s="92"/>
      <c r="FH28" s="92"/>
      <c r="FI28" s="92"/>
      <c r="FJ28" s="92"/>
      <c r="FK28" s="92"/>
      <c r="FL28" s="92"/>
      <c r="FM28" s="92"/>
      <c r="FN28" s="92"/>
      <c r="FO28" s="92"/>
      <c r="FP28" s="92"/>
      <c r="FQ28" s="92"/>
      <c r="FR28" s="92"/>
      <c r="FS28" s="92"/>
      <c r="FT28" s="92"/>
      <c r="FU28" s="92"/>
      <c r="FV28" s="92"/>
      <c r="FW28" s="93"/>
      <c r="FX28" s="76"/>
      <c r="FY28" s="76"/>
      <c r="FZ28" s="76"/>
      <c r="GA28" s="76"/>
    </row>
    <row r="29" ht="17.25" customHeight="1" outlineLevel="1">
      <c r="A29" s="76"/>
      <c r="B29" s="77" t="s">
        <v>79</v>
      </c>
      <c r="C29" s="78" t="s">
        <v>80</v>
      </c>
      <c r="D29" s="78" t="s">
        <v>43</v>
      </c>
      <c r="E29" s="141">
        <v>45858.0</v>
      </c>
      <c r="F29" s="141">
        <v>45866.0</v>
      </c>
      <c r="G29" s="80">
        <f t="shared" si="15"/>
        <v>8</v>
      </c>
      <c r="H29" s="80" t="s">
        <v>78</v>
      </c>
      <c r="I29" s="81">
        <v>1.0</v>
      </c>
      <c r="J29" s="138"/>
      <c r="K29" s="139"/>
      <c r="L29" s="140"/>
      <c r="M29" s="140"/>
      <c r="N29" s="105"/>
      <c r="O29" s="138"/>
      <c r="P29" s="139"/>
      <c r="Q29" s="140"/>
      <c r="R29" s="140"/>
      <c r="S29" s="105"/>
      <c r="T29" s="105"/>
      <c r="U29" s="105"/>
      <c r="V29" s="105"/>
      <c r="W29" s="105"/>
      <c r="X29" s="117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17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17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17"/>
      <c r="BR29" s="142"/>
      <c r="BS29" s="142"/>
      <c r="BT29" s="142"/>
      <c r="BU29" s="142"/>
      <c r="BV29" s="142"/>
      <c r="BW29" s="142"/>
      <c r="BX29" s="142"/>
      <c r="BY29" s="142"/>
      <c r="BZ29" s="142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  <c r="DR29" s="92"/>
      <c r="DS29" s="92"/>
      <c r="DT29" s="92"/>
      <c r="DU29" s="92"/>
      <c r="DV29" s="92"/>
      <c r="DW29" s="92"/>
      <c r="DX29" s="92"/>
      <c r="DY29" s="92"/>
      <c r="EA29" s="92"/>
      <c r="EB29" s="92"/>
      <c r="EC29" s="92"/>
      <c r="ED29" s="92"/>
      <c r="EE29" s="92"/>
      <c r="EF29" s="92"/>
      <c r="EG29" s="92"/>
      <c r="EH29" s="92"/>
      <c r="EI29" s="92"/>
      <c r="EJ29" s="92"/>
      <c r="EK29" s="92"/>
      <c r="EL29" s="92"/>
      <c r="EM29" s="92"/>
      <c r="EN29" s="92"/>
      <c r="EO29" s="92"/>
      <c r="EP29" s="92"/>
      <c r="EQ29" s="92"/>
      <c r="ER29" s="92"/>
      <c r="ES29" s="92"/>
      <c r="ET29" s="92"/>
      <c r="EU29" s="92"/>
      <c r="EV29" s="92"/>
      <c r="EW29" s="92"/>
      <c r="EX29" s="92"/>
      <c r="EY29" s="92"/>
      <c r="EZ29" s="92"/>
      <c r="FA29" s="92"/>
      <c r="FB29" s="92"/>
      <c r="FC29" s="92"/>
      <c r="FD29" s="92"/>
      <c r="FE29" s="92"/>
      <c r="FF29" s="92"/>
      <c r="FG29" s="92"/>
      <c r="FH29" s="92"/>
      <c r="FI29" s="92"/>
      <c r="FJ29" s="92"/>
      <c r="FK29" s="92"/>
      <c r="FL29" s="92"/>
      <c r="FM29" s="92"/>
      <c r="FN29" s="92"/>
      <c r="FO29" s="92"/>
      <c r="FP29" s="92"/>
      <c r="FQ29" s="92"/>
      <c r="FR29" s="92"/>
      <c r="FS29" s="92"/>
      <c r="FT29" s="92"/>
      <c r="FU29" s="92"/>
      <c r="FV29" s="92"/>
      <c r="FW29" s="93"/>
      <c r="FX29" s="76"/>
      <c r="FY29" s="76"/>
      <c r="FZ29" s="76"/>
      <c r="GA29" s="76"/>
    </row>
    <row r="30" ht="17.25" customHeight="1" outlineLevel="1">
      <c r="A30" s="76"/>
      <c r="B30" s="77" t="s">
        <v>81</v>
      </c>
      <c r="C30" s="78" t="s">
        <v>82</v>
      </c>
      <c r="D30" s="78" t="s">
        <v>56</v>
      </c>
      <c r="E30" s="79">
        <v>45858.0</v>
      </c>
      <c r="F30" s="79">
        <v>45866.0</v>
      </c>
      <c r="G30" s="80">
        <f t="shared" si="15"/>
        <v>8</v>
      </c>
      <c r="H30" s="80" t="s">
        <v>83</v>
      </c>
      <c r="I30" s="81">
        <v>1.0</v>
      </c>
      <c r="J30" s="138"/>
      <c r="K30" s="139"/>
      <c r="L30" s="140"/>
      <c r="M30" s="140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17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17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17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7"/>
      <c r="BR30" s="105"/>
      <c r="BS30" s="105"/>
      <c r="BT30" s="105"/>
      <c r="BU30" s="105"/>
      <c r="BV30" s="105"/>
      <c r="BW30" s="105"/>
      <c r="BX30" s="105"/>
      <c r="BY30" s="105"/>
      <c r="BZ30" s="10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/>
      <c r="DY30" s="92"/>
      <c r="EA30" s="92"/>
      <c r="EB30" s="92"/>
      <c r="EC30" s="92"/>
      <c r="ED30" s="92"/>
      <c r="EE30" s="92"/>
      <c r="EF30" s="92"/>
      <c r="EG30" s="92"/>
      <c r="EH30" s="92"/>
      <c r="EI30" s="92"/>
      <c r="EJ30" s="92"/>
      <c r="EK30" s="92"/>
      <c r="EL30" s="92"/>
      <c r="EM30" s="92"/>
      <c r="EN30" s="92"/>
      <c r="EO30" s="92"/>
      <c r="EP30" s="92"/>
      <c r="EQ30" s="92"/>
      <c r="ER30" s="92"/>
      <c r="ES30" s="92"/>
      <c r="ET30" s="92"/>
      <c r="EU30" s="92"/>
      <c r="EV30" s="92"/>
      <c r="EW30" s="92"/>
      <c r="EX30" s="92"/>
      <c r="EY30" s="92"/>
      <c r="EZ30" s="92"/>
      <c r="FA30" s="92"/>
      <c r="FB30" s="92"/>
      <c r="FC30" s="92"/>
      <c r="FD30" s="92"/>
      <c r="FE30" s="92"/>
      <c r="FF30" s="92"/>
      <c r="FG30" s="92"/>
      <c r="FH30" s="92"/>
      <c r="FI30" s="92"/>
      <c r="FJ30" s="92"/>
      <c r="FK30" s="92"/>
      <c r="FL30" s="92"/>
      <c r="FM30" s="92"/>
      <c r="FN30" s="92"/>
      <c r="FO30" s="92"/>
      <c r="FP30" s="92"/>
      <c r="FQ30" s="92"/>
      <c r="FR30" s="92"/>
      <c r="FS30" s="92"/>
      <c r="FT30" s="92"/>
      <c r="FU30" s="92"/>
      <c r="FV30" s="92"/>
      <c r="FW30" s="93"/>
      <c r="FX30" s="76"/>
      <c r="FY30" s="76"/>
      <c r="FZ30" s="76"/>
      <c r="GA30" s="76"/>
    </row>
    <row r="31" ht="17.25" customHeight="1" outlineLevel="1">
      <c r="A31" s="76"/>
      <c r="B31" s="77" t="s">
        <v>84</v>
      </c>
      <c r="C31" s="78" t="s">
        <v>85</v>
      </c>
      <c r="D31" s="78" t="s">
        <v>56</v>
      </c>
      <c r="E31" s="141">
        <v>45858.0</v>
      </c>
      <c r="F31" s="141">
        <v>45866.0</v>
      </c>
      <c r="G31" s="80">
        <f t="shared" si="15"/>
        <v>8</v>
      </c>
      <c r="H31" s="80" t="s">
        <v>82</v>
      </c>
      <c r="I31" s="81">
        <v>1.0</v>
      </c>
      <c r="J31" s="138"/>
      <c r="K31" s="139"/>
      <c r="L31" s="105"/>
      <c r="M31" s="105"/>
      <c r="N31" s="105"/>
      <c r="O31" s="105"/>
      <c r="P31" s="105"/>
      <c r="Q31" s="105"/>
      <c r="R31" s="105"/>
      <c r="S31" s="105"/>
      <c r="T31" s="105"/>
      <c r="U31" s="128"/>
      <c r="V31" s="128"/>
      <c r="W31" s="128"/>
      <c r="X31" s="117"/>
      <c r="Y31" s="128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17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17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17"/>
      <c r="BR31" s="116"/>
      <c r="BS31" s="116"/>
      <c r="BT31" s="116"/>
      <c r="BU31" s="116"/>
      <c r="BV31" s="116"/>
      <c r="BW31" s="116"/>
      <c r="BX31" s="116"/>
      <c r="BY31" s="116"/>
      <c r="BZ31" s="116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92"/>
      <c r="CO31" s="92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2"/>
      <c r="DA31" s="92"/>
      <c r="DB31" s="92"/>
      <c r="DC31" s="92"/>
      <c r="DD31" s="92"/>
      <c r="DE31" s="92"/>
      <c r="DF31" s="92"/>
      <c r="DG31" s="92"/>
      <c r="DH31" s="92"/>
      <c r="DI31" s="92"/>
      <c r="DJ31" s="92"/>
      <c r="DK31" s="92"/>
      <c r="DL31" s="92"/>
      <c r="DM31" s="92"/>
      <c r="DN31" s="92"/>
      <c r="DO31" s="92"/>
      <c r="DP31" s="92"/>
      <c r="DQ31" s="92"/>
      <c r="DR31" s="92"/>
      <c r="DS31" s="92"/>
      <c r="DT31" s="92"/>
      <c r="DU31" s="92"/>
      <c r="DV31" s="92"/>
      <c r="DW31" s="92"/>
      <c r="DX31" s="92"/>
      <c r="DY31" s="92"/>
      <c r="EA31" s="92"/>
      <c r="EB31" s="92"/>
      <c r="EC31" s="92"/>
      <c r="ED31" s="92"/>
      <c r="EE31" s="92"/>
      <c r="EF31" s="92"/>
      <c r="EG31" s="92"/>
      <c r="EH31" s="92"/>
      <c r="EI31" s="92"/>
      <c r="EJ31" s="92"/>
      <c r="EK31" s="92"/>
      <c r="EL31" s="92"/>
      <c r="EM31" s="92"/>
      <c r="EN31" s="92"/>
      <c r="EO31" s="92"/>
      <c r="EP31" s="92"/>
      <c r="EQ31" s="92"/>
      <c r="ER31" s="92"/>
      <c r="ES31" s="92"/>
      <c r="ET31" s="92"/>
      <c r="EU31" s="92"/>
      <c r="EV31" s="92"/>
      <c r="EW31" s="92"/>
      <c r="EX31" s="92"/>
      <c r="EY31" s="92"/>
      <c r="EZ31" s="92"/>
      <c r="FA31" s="92"/>
      <c r="FB31" s="92"/>
      <c r="FC31" s="92"/>
      <c r="FD31" s="92"/>
      <c r="FE31" s="92"/>
      <c r="FF31" s="92"/>
      <c r="FG31" s="92"/>
      <c r="FH31" s="92"/>
      <c r="FI31" s="92"/>
      <c r="FJ31" s="92"/>
      <c r="FK31" s="92"/>
      <c r="FL31" s="92"/>
      <c r="FM31" s="92"/>
      <c r="FN31" s="92"/>
      <c r="FO31" s="92"/>
      <c r="FP31" s="92"/>
      <c r="FQ31" s="92"/>
      <c r="FR31" s="92"/>
      <c r="FS31" s="92"/>
      <c r="FT31" s="92"/>
      <c r="FU31" s="92"/>
      <c r="FV31" s="92"/>
      <c r="FW31" s="93"/>
      <c r="FX31" s="76"/>
      <c r="FY31" s="76"/>
      <c r="FZ31" s="76"/>
      <c r="GA31" s="76"/>
    </row>
    <row r="32" ht="17.25" customHeight="1" outlineLevel="1">
      <c r="A32" s="76"/>
      <c r="B32" s="77" t="s">
        <v>86</v>
      </c>
      <c r="C32" s="78" t="s">
        <v>87</v>
      </c>
      <c r="D32" s="78" t="s">
        <v>43</v>
      </c>
      <c r="E32" s="141">
        <v>45844.0</v>
      </c>
      <c r="F32" s="141">
        <v>45857.0</v>
      </c>
      <c r="G32" s="80">
        <f t="shared" si="15"/>
        <v>13</v>
      </c>
      <c r="H32" s="80"/>
      <c r="I32" s="81">
        <v>1.0</v>
      </c>
      <c r="J32" s="138"/>
      <c r="K32" s="139"/>
      <c r="L32" s="105"/>
      <c r="M32" s="105"/>
      <c r="N32" s="105"/>
      <c r="O32" s="105"/>
      <c r="P32" s="105"/>
      <c r="Q32" s="105"/>
      <c r="R32" s="105"/>
      <c r="S32" s="105"/>
      <c r="T32" s="105"/>
      <c r="U32" s="128"/>
      <c r="V32" s="128"/>
      <c r="W32" s="128"/>
      <c r="X32" s="117"/>
      <c r="Y32" s="128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17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17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16"/>
      <c r="BQ32" s="117"/>
      <c r="BR32" s="105"/>
      <c r="BS32" s="105"/>
      <c r="BT32" s="105"/>
      <c r="BU32" s="105"/>
      <c r="BV32" s="105"/>
      <c r="BW32" s="105"/>
      <c r="BX32" s="105"/>
      <c r="BY32" s="105"/>
      <c r="BZ32" s="10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  <c r="DQ32" s="92"/>
      <c r="DR32" s="92"/>
      <c r="DS32" s="92"/>
      <c r="DT32" s="92"/>
      <c r="DU32" s="92"/>
      <c r="DV32" s="92"/>
      <c r="DW32" s="92"/>
      <c r="DX32" s="92"/>
      <c r="DY32" s="92"/>
      <c r="EA32" s="92"/>
      <c r="EB32" s="92"/>
      <c r="EC32" s="92"/>
      <c r="ED32" s="92"/>
      <c r="EE32" s="92"/>
      <c r="EF32" s="92"/>
      <c r="EG32" s="92"/>
      <c r="EH32" s="92"/>
      <c r="EI32" s="92"/>
      <c r="EJ32" s="92"/>
      <c r="EK32" s="92"/>
      <c r="EL32" s="92"/>
      <c r="EM32" s="92"/>
      <c r="EN32" s="92"/>
      <c r="EO32" s="92"/>
      <c r="EP32" s="92"/>
      <c r="EQ32" s="92"/>
      <c r="ER32" s="92"/>
      <c r="ES32" s="92"/>
      <c r="ET32" s="92"/>
      <c r="EU32" s="92"/>
      <c r="EV32" s="92"/>
      <c r="EW32" s="92"/>
      <c r="EX32" s="92"/>
      <c r="EY32" s="92"/>
      <c r="EZ32" s="92"/>
      <c r="FA32" s="92"/>
      <c r="FB32" s="92"/>
      <c r="FC32" s="92"/>
      <c r="FD32" s="92"/>
      <c r="FE32" s="92"/>
      <c r="FF32" s="92"/>
      <c r="FG32" s="92"/>
      <c r="FH32" s="92"/>
      <c r="FI32" s="92"/>
      <c r="FJ32" s="92"/>
      <c r="FK32" s="92"/>
      <c r="FL32" s="92"/>
      <c r="FM32" s="92"/>
      <c r="FN32" s="92"/>
      <c r="FO32" s="92"/>
      <c r="FP32" s="92"/>
      <c r="FQ32" s="92"/>
      <c r="FR32" s="92"/>
      <c r="FS32" s="92"/>
      <c r="FT32" s="92"/>
      <c r="FU32" s="92"/>
      <c r="FV32" s="92"/>
      <c r="FW32" s="93"/>
      <c r="FX32" s="76"/>
      <c r="FY32" s="76"/>
      <c r="FZ32" s="76"/>
      <c r="GA32" s="76"/>
    </row>
    <row r="33" ht="22.5" customHeight="1">
      <c r="A33" s="31"/>
      <c r="B33" s="70">
        <v>2.0</v>
      </c>
      <c r="C33" s="71" t="s">
        <v>88</v>
      </c>
      <c r="D33" s="72"/>
      <c r="E33" s="72"/>
      <c r="F33" s="72"/>
      <c r="G33" s="72"/>
      <c r="H33" s="72"/>
      <c r="I33" s="72"/>
      <c r="J33" s="71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F33" s="74"/>
      <c r="FG33" s="74"/>
      <c r="FH33" s="74"/>
      <c r="FI33" s="74"/>
      <c r="FJ33" s="74"/>
      <c r="FK33" s="74"/>
      <c r="FL33" s="74"/>
      <c r="FM33" s="74"/>
      <c r="FN33" s="74"/>
      <c r="FO33" s="74"/>
      <c r="FP33" s="74"/>
      <c r="FQ33" s="74"/>
      <c r="FR33" s="74"/>
      <c r="FS33" s="74"/>
      <c r="FT33" s="74"/>
      <c r="FU33" s="74"/>
      <c r="FV33" s="74"/>
      <c r="FW33" s="75"/>
      <c r="FX33" s="31"/>
      <c r="FY33" s="31"/>
      <c r="FZ33" s="31"/>
      <c r="GA33" s="31"/>
    </row>
    <row r="34" ht="17.25" customHeight="1" outlineLevel="1">
      <c r="A34" s="76"/>
      <c r="B34" s="77" t="s">
        <v>89</v>
      </c>
      <c r="C34" s="78" t="s">
        <v>90</v>
      </c>
      <c r="D34" s="78" t="s">
        <v>91</v>
      </c>
      <c r="E34" s="79">
        <v>45802.0</v>
      </c>
      <c r="F34" s="94">
        <v>45808.0</v>
      </c>
      <c r="G34" s="80">
        <f t="shared" ref="G34:G38" si="16">DAYS360(E34,F34)</f>
        <v>6</v>
      </c>
      <c r="H34" s="80" t="s">
        <v>42</v>
      </c>
      <c r="I34" s="81">
        <v>1.0</v>
      </c>
      <c r="J34" s="135"/>
      <c r="K34" s="136"/>
      <c r="L34" s="133"/>
      <c r="M34" s="133"/>
      <c r="N34" s="134"/>
      <c r="O34" s="135"/>
      <c r="P34" s="136"/>
      <c r="Q34" s="134"/>
      <c r="R34" s="134"/>
      <c r="S34" s="134"/>
      <c r="T34" s="134"/>
      <c r="U34" s="134"/>
      <c r="V34" s="134"/>
      <c r="W34" s="134"/>
      <c r="X34" s="90"/>
      <c r="Y34" s="89"/>
      <c r="Z34" s="89"/>
      <c r="AA34" s="89"/>
      <c r="AB34" s="89"/>
      <c r="AC34" s="89"/>
      <c r="AD34" s="89"/>
      <c r="AE34" s="89"/>
      <c r="AF34" s="89"/>
      <c r="AG34" s="144"/>
      <c r="AH34" s="144"/>
      <c r="AI34" s="144"/>
      <c r="AJ34" s="89"/>
      <c r="AK34" s="89"/>
      <c r="AL34" s="89"/>
      <c r="AM34" s="90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90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90"/>
      <c r="BR34" s="89"/>
      <c r="BS34" s="89"/>
      <c r="BT34" s="89"/>
      <c r="BU34" s="89"/>
      <c r="BV34" s="89"/>
      <c r="BW34" s="89"/>
      <c r="BX34" s="89"/>
      <c r="BY34" s="89"/>
      <c r="BZ34" s="89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EA34" s="92"/>
      <c r="EB34" s="92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2"/>
      <c r="ET34" s="92"/>
      <c r="EU34" s="92"/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2"/>
      <c r="FH34" s="92"/>
      <c r="FI34" s="92"/>
      <c r="FJ34" s="92"/>
      <c r="FK34" s="92"/>
      <c r="FL34" s="92"/>
      <c r="FM34" s="92"/>
      <c r="FN34" s="92"/>
      <c r="FO34" s="92"/>
      <c r="FP34" s="92"/>
      <c r="FQ34" s="92"/>
      <c r="FR34" s="92"/>
      <c r="FS34" s="92"/>
      <c r="FT34" s="92"/>
      <c r="FU34" s="92"/>
      <c r="FV34" s="92"/>
      <c r="FW34" s="93"/>
      <c r="FX34" s="76"/>
      <c r="FY34" s="76"/>
      <c r="FZ34" s="76"/>
      <c r="GA34" s="76"/>
    </row>
    <row r="35" ht="17.25" customHeight="1" outlineLevel="1">
      <c r="A35" s="76"/>
      <c r="B35" s="77" t="s">
        <v>92</v>
      </c>
      <c r="C35" s="78" t="s">
        <v>93</v>
      </c>
      <c r="D35" s="78" t="s">
        <v>94</v>
      </c>
      <c r="E35" s="79">
        <v>45802.0</v>
      </c>
      <c r="F35" s="94">
        <v>45815.0</v>
      </c>
      <c r="G35" s="80">
        <f t="shared" si="16"/>
        <v>12</v>
      </c>
      <c r="H35" s="80"/>
      <c r="I35" s="81">
        <v>1.0</v>
      </c>
      <c r="J35" s="82"/>
      <c r="K35" s="136"/>
      <c r="L35" s="133"/>
      <c r="M35" s="133"/>
      <c r="N35" s="134"/>
      <c r="O35" s="135"/>
      <c r="P35" s="145"/>
      <c r="Q35" s="146"/>
      <c r="R35" s="146"/>
      <c r="S35" s="146"/>
      <c r="T35" s="134"/>
      <c r="U35" s="134"/>
      <c r="V35" s="134"/>
      <c r="W35" s="134"/>
      <c r="X35" s="90"/>
      <c r="Y35" s="89"/>
      <c r="Z35" s="89"/>
      <c r="AA35" s="89"/>
      <c r="AB35" s="89"/>
      <c r="AC35" s="89"/>
      <c r="AD35" s="89"/>
      <c r="AE35" s="89"/>
      <c r="AF35" s="89"/>
      <c r="AG35" s="144"/>
      <c r="AH35" s="147"/>
      <c r="AI35" s="147"/>
      <c r="AJ35" s="89"/>
      <c r="AK35" s="89"/>
      <c r="AL35" s="89"/>
      <c r="AM35" s="90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90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90"/>
      <c r="BR35" s="89"/>
      <c r="BS35" s="89"/>
      <c r="BT35" s="89"/>
      <c r="BU35" s="89"/>
      <c r="BV35" s="89"/>
      <c r="BW35" s="89"/>
      <c r="BX35" s="89"/>
      <c r="BY35" s="89"/>
      <c r="BZ35" s="89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/>
      <c r="DV35" s="92"/>
      <c r="DW35" s="92"/>
      <c r="DX35" s="92"/>
      <c r="DY35" s="92"/>
      <c r="EA35" s="92"/>
      <c r="EB35" s="92"/>
      <c r="EC35" s="92"/>
      <c r="ED35" s="92"/>
      <c r="EE35" s="92"/>
      <c r="EF35" s="92"/>
      <c r="EG35" s="92"/>
      <c r="EH35" s="92"/>
      <c r="EI35" s="92"/>
      <c r="EJ35" s="92"/>
      <c r="EK35" s="92"/>
      <c r="EL35" s="92"/>
      <c r="EM35" s="92"/>
      <c r="EN35" s="92"/>
      <c r="EO35" s="92"/>
      <c r="EP35" s="92"/>
      <c r="EQ35" s="92"/>
      <c r="ER35" s="92"/>
      <c r="ES35" s="92"/>
      <c r="ET35" s="92"/>
      <c r="EU35" s="92"/>
      <c r="EV35" s="92"/>
      <c r="EW35" s="92"/>
      <c r="EX35" s="92"/>
      <c r="EY35" s="92"/>
      <c r="EZ35" s="92"/>
      <c r="FA35" s="92"/>
      <c r="FB35" s="92"/>
      <c r="FC35" s="92"/>
      <c r="FD35" s="92"/>
      <c r="FE35" s="92"/>
      <c r="FF35" s="92"/>
      <c r="FG35" s="92"/>
      <c r="FH35" s="92"/>
      <c r="FI35" s="92"/>
      <c r="FJ35" s="92"/>
      <c r="FK35" s="92"/>
      <c r="FL35" s="92"/>
      <c r="FM35" s="92"/>
      <c r="FN35" s="92"/>
      <c r="FO35" s="92"/>
      <c r="FP35" s="92"/>
      <c r="FQ35" s="92"/>
      <c r="FR35" s="92"/>
      <c r="FS35" s="92"/>
      <c r="FT35" s="92"/>
      <c r="FU35" s="92"/>
      <c r="FV35" s="92"/>
      <c r="FW35" s="93"/>
      <c r="FX35" s="76"/>
      <c r="FY35" s="76"/>
      <c r="FZ35" s="76"/>
      <c r="GA35" s="76"/>
    </row>
    <row r="36" ht="17.25" customHeight="1" outlineLevel="1">
      <c r="A36" s="76"/>
      <c r="B36" s="77" t="s">
        <v>95</v>
      </c>
      <c r="C36" s="78" t="s">
        <v>96</v>
      </c>
      <c r="D36" s="78" t="s">
        <v>97</v>
      </c>
      <c r="E36" s="79">
        <v>45816.0</v>
      </c>
      <c r="F36" s="94">
        <v>45829.0</v>
      </c>
      <c r="G36" s="80">
        <f t="shared" si="16"/>
        <v>13</v>
      </c>
      <c r="H36" s="80" t="s">
        <v>93</v>
      </c>
      <c r="I36" s="81">
        <v>1.0</v>
      </c>
      <c r="J36" s="148"/>
      <c r="K36" s="139"/>
      <c r="L36" s="140"/>
      <c r="M36" s="140"/>
      <c r="N36" s="105"/>
      <c r="O36" s="140"/>
      <c r="P36" s="105"/>
      <c r="Q36" s="105"/>
      <c r="R36" s="105"/>
      <c r="S36" s="105"/>
      <c r="T36" s="105"/>
      <c r="U36" s="105"/>
      <c r="V36" s="105"/>
      <c r="W36" s="105"/>
      <c r="X36" s="117"/>
      <c r="Y36" s="116"/>
      <c r="Z36" s="116"/>
      <c r="AA36" s="116"/>
      <c r="AB36" s="116"/>
      <c r="AC36" s="116"/>
      <c r="AD36" s="134"/>
      <c r="AE36" s="134"/>
      <c r="AF36" s="134"/>
      <c r="AG36" s="149"/>
      <c r="AH36" s="150"/>
      <c r="AI36" s="150"/>
      <c r="AJ36" s="116"/>
      <c r="AK36" s="116"/>
      <c r="AL36" s="116"/>
      <c r="AM36" s="117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17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17"/>
      <c r="BR36" s="105"/>
      <c r="BS36" s="105"/>
      <c r="BT36" s="105"/>
      <c r="BU36" s="105"/>
      <c r="BV36" s="105"/>
      <c r="BW36" s="105"/>
      <c r="BX36" s="105"/>
      <c r="BY36" s="105"/>
      <c r="BZ36" s="10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  <c r="DQ36" s="92"/>
      <c r="DR36" s="92"/>
      <c r="DS36" s="92"/>
      <c r="DT36" s="92"/>
      <c r="DU36" s="92"/>
      <c r="DV36" s="92"/>
      <c r="DW36" s="92"/>
      <c r="DX36" s="92"/>
      <c r="DY36" s="92"/>
      <c r="EA36" s="92"/>
      <c r="EB36" s="92"/>
      <c r="EC36" s="92"/>
      <c r="ED36" s="92"/>
      <c r="EE36" s="92"/>
      <c r="EF36" s="92"/>
      <c r="EG36" s="92"/>
      <c r="EH36" s="92"/>
      <c r="EI36" s="92"/>
      <c r="EJ36" s="92"/>
      <c r="EK36" s="92"/>
      <c r="EL36" s="92"/>
      <c r="EM36" s="92"/>
      <c r="EN36" s="92"/>
      <c r="EO36" s="92"/>
      <c r="EP36" s="92"/>
      <c r="EQ36" s="92"/>
      <c r="ER36" s="92"/>
      <c r="ES36" s="92"/>
      <c r="ET36" s="92"/>
      <c r="EU36" s="92"/>
      <c r="EV36" s="92"/>
      <c r="EW36" s="92"/>
      <c r="EX36" s="92"/>
      <c r="EY36" s="92"/>
      <c r="EZ36" s="92"/>
      <c r="FA36" s="92"/>
      <c r="FB36" s="92"/>
      <c r="FC36" s="92"/>
      <c r="FD36" s="92"/>
      <c r="FE36" s="92"/>
      <c r="FF36" s="92"/>
      <c r="FG36" s="92"/>
      <c r="FH36" s="92"/>
      <c r="FI36" s="92"/>
      <c r="FJ36" s="92"/>
      <c r="FK36" s="92"/>
      <c r="FL36" s="92"/>
      <c r="FM36" s="92"/>
      <c r="FN36" s="92"/>
      <c r="FO36" s="92"/>
      <c r="FP36" s="92"/>
      <c r="FQ36" s="92"/>
      <c r="FR36" s="92"/>
      <c r="FS36" s="92"/>
      <c r="FT36" s="92"/>
      <c r="FU36" s="92"/>
      <c r="FV36" s="92"/>
      <c r="FW36" s="93"/>
      <c r="FX36" s="76"/>
      <c r="FY36" s="76"/>
      <c r="FZ36" s="76"/>
      <c r="GA36" s="76"/>
    </row>
    <row r="37" ht="17.25" customHeight="1" outlineLevel="1">
      <c r="A37" s="76"/>
      <c r="B37" s="77" t="s">
        <v>98</v>
      </c>
      <c r="C37" s="78" t="s">
        <v>99</v>
      </c>
      <c r="D37" s="78" t="s">
        <v>97</v>
      </c>
      <c r="E37" s="79">
        <v>45830.0</v>
      </c>
      <c r="F37" s="94">
        <v>45843.0</v>
      </c>
      <c r="G37" s="80">
        <f t="shared" si="16"/>
        <v>13</v>
      </c>
      <c r="H37" s="80" t="s">
        <v>96</v>
      </c>
      <c r="I37" s="81">
        <v>1.0</v>
      </c>
      <c r="J37" s="148"/>
      <c r="K37" s="139"/>
      <c r="L37" s="140"/>
      <c r="M37" s="140"/>
      <c r="N37" s="105"/>
      <c r="O37" s="140"/>
      <c r="P37" s="105"/>
      <c r="Q37" s="105"/>
      <c r="R37" s="105"/>
      <c r="S37" s="105"/>
      <c r="T37" s="105"/>
      <c r="U37" s="105"/>
      <c r="V37" s="105"/>
      <c r="W37" s="105"/>
      <c r="X37" s="117"/>
      <c r="Y37" s="105"/>
      <c r="Z37" s="105"/>
      <c r="AA37" s="105"/>
      <c r="AB37" s="105"/>
      <c r="AC37" s="105"/>
      <c r="AD37" s="89"/>
      <c r="AE37" s="89"/>
      <c r="AF37" s="89"/>
      <c r="AG37" s="151"/>
      <c r="AH37" s="152"/>
      <c r="AI37" s="152"/>
      <c r="AJ37" s="105"/>
      <c r="AK37" s="105"/>
      <c r="AL37" s="105"/>
      <c r="AM37" s="117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7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17"/>
      <c r="BR37" s="105"/>
      <c r="BS37" s="105"/>
      <c r="BT37" s="105"/>
      <c r="BU37" s="105"/>
      <c r="BV37" s="105"/>
      <c r="BW37" s="105"/>
      <c r="BX37" s="105"/>
      <c r="BY37" s="105"/>
      <c r="BZ37" s="10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  <c r="DQ37" s="92"/>
      <c r="DR37" s="92"/>
      <c r="DS37" s="92"/>
      <c r="DT37" s="92"/>
      <c r="DU37" s="92"/>
      <c r="DV37" s="92"/>
      <c r="DW37" s="92"/>
      <c r="DX37" s="92"/>
      <c r="DY37" s="92"/>
      <c r="EA37" s="92"/>
      <c r="EB37" s="92"/>
      <c r="EC37" s="92"/>
      <c r="ED37" s="92"/>
      <c r="EE37" s="92"/>
      <c r="EF37" s="92"/>
      <c r="EG37" s="92"/>
      <c r="EH37" s="92"/>
      <c r="EI37" s="92"/>
      <c r="EJ37" s="92"/>
      <c r="EK37" s="92"/>
      <c r="EL37" s="92"/>
      <c r="EM37" s="92"/>
      <c r="EN37" s="92"/>
      <c r="EO37" s="92"/>
      <c r="EP37" s="92"/>
      <c r="EQ37" s="92"/>
      <c r="ER37" s="92"/>
      <c r="ES37" s="92"/>
      <c r="ET37" s="92"/>
      <c r="EU37" s="92"/>
      <c r="EV37" s="92"/>
      <c r="EW37" s="92"/>
      <c r="EX37" s="92"/>
      <c r="EY37" s="92"/>
      <c r="EZ37" s="92"/>
      <c r="FA37" s="92"/>
      <c r="FB37" s="92"/>
      <c r="FC37" s="92"/>
      <c r="FD37" s="92"/>
      <c r="FE37" s="92"/>
      <c r="FF37" s="92"/>
      <c r="FG37" s="92"/>
      <c r="FH37" s="92"/>
      <c r="FI37" s="92"/>
      <c r="FJ37" s="92"/>
      <c r="FK37" s="92"/>
      <c r="FL37" s="92"/>
      <c r="FM37" s="92"/>
      <c r="FN37" s="92"/>
      <c r="FO37" s="92"/>
      <c r="FP37" s="92"/>
      <c r="FQ37" s="92"/>
      <c r="FR37" s="92"/>
      <c r="FS37" s="92"/>
      <c r="FT37" s="92"/>
      <c r="FU37" s="92"/>
      <c r="FV37" s="92"/>
      <c r="FW37" s="93"/>
      <c r="FX37" s="76"/>
      <c r="FY37" s="76"/>
      <c r="FZ37" s="76"/>
      <c r="GA37" s="76"/>
    </row>
    <row r="38" ht="17.25" customHeight="1" outlineLevel="1">
      <c r="A38" s="76"/>
      <c r="B38" s="77" t="s">
        <v>100</v>
      </c>
      <c r="C38" s="78" t="s">
        <v>101</v>
      </c>
      <c r="D38" s="78" t="s">
        <v>97</v>
      </c>
      <c r="E38" s="79">
        <v>45844.0</v>
      </c>
      <c r="F38" s="94">
        <v>45857.0</v>
      </c>
      <c r="G38" s="80">
        <f t="shared" si="16"/>
        <v>13</v>
      </c>
      <c r="H38" s="80" t="s">
        <v>99</v>
      </c>
      <c r="I38" s="81">
        <v>1.0</v>
      </c>
      <c r="J38" s="148"/>
      <c r="K38" s="139"/>
      <c r="L38" s="140"/>
      <c r="M38" s="140"/>
      <c r="N38" s="105"/>
      <c r="O38" s="140"/>
      <c r="P38" s="105"/>
      <c r="Q38" s="105"/>
      <c r="R38" s="105"/>
      <c r="S38" s="105"/>
      <c r="T38" s="105"/>
      <c r="U38" s="105"/>
      <c r="V38" s="105"/>
      <c r="W38" s="105"/>
      <c r="X38" s="117"/>
      <c r="Y38" s="105"/>
      <c r="Z38" s="105"/>
      <c r="AA38" s="105"/>
      <c r="AB38" s="105"/>
      <c r="AC38" s="105"/>
      <c r="AD38" s="89"/>
      <c r="AE38" s="89"/>
      <c r="AF38" s="89"/>
      <c r="AG38" s="151"/>
      <c r="AH38" s="152"/>
      <c r="AI38" s="152"/>
      <c r="AJ38" s="105"/>
      <c r="AK38" s="105"/>
      <c r="AL38" s="105"/>
      <c r="AM38" s="117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17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7"/>
      <c r="BR38" s="105"/>
      <c r="BS38" s="105"/>
      <c r="BT38" s="105"/>
      <c r="BU38" s="105"/>
      <c r="BV38" s="105"/>
      <c r="BW38" s="105"/>
      <c r="BX38" s="105"/>
      <c r="BY38" s="105"/>
      <c r="BZ38" s="10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EA38" s="92"/>
      <c r="EB38" s="92"/>
      <c r="EC38" s="92"/>
      <c r="ED38" s="92"/>
      <c r="EE38" s="92"/>
      <c r="EF38" s="92"/>
      <c r="EG38" s="92"/>
      <c r="EH38" s="92"/>
      <c r="EI38" s="92"/>
      <c r="EJ38" s="92"/>
      <c r="EK38" s="92"/>
      <c r="EL38" s="92"/>
      <c r="EM38" s="92"/>
      <c r="EN38" s="92"/>
      <c r="EO38" s="92"/>
      <c r="EP38" s="92"/>
      <c r="EQ38" s="92"/>
      <c r="ER38" s="92"/>
      <c r="ES38" s="92"/>
      <c r="ET38" s="92"/>
      <c r="EU38" s="92"/>
      <c r="EV38" s="92"/>
      <c r="EW38" s="92"/>
      <c r="EX38" s="92"/>
      <c r="EY38" s="92"/>
      <c r="EZ38" s="92"/>
      <c r="FA38" s="92"/>
      <c r="FB38" s="92"/>
      <c r="FC38" s="92"/>
      <c r="FD38" s="92"/>
      <c r="FE38" s="92"/>
      <c r="FF38" s="92"/>
      <c r="FG38" s="92"/>
      <c r="FH38" s="92"/>
      <c r="FI38" s="92"/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2"/>
      <c r="FV38" s="92"/>
      <c r="FW38" s="93"/>
      <c r="FX38" s="76"/>
      <c r="FY38" s="76"/>
      <c r="FZ38" s="76"/>
      <c r="GA38" s="76"/>
    </row>
    <row r="39" ht="22.5" customHeight="1">
      <c r="A39" s="31"/>
      <c r="B39" s="70">
        <v>3.0</v>
      </c>
      <c r="C39" s="71" t="s">
        <v>102</v>
      </c>
      <c r="D39" s="72"/>
      <c r="E39" s="72"/>
      <c r="F39" s="72"/>
      <c r="G39" s="72"/>
      <c r="H39" s="72"/>
      <c r="I39" s="72"/>
      <c r="J39" s="153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EA39" s="74"/>
      <c r="EB39" s="74"/>
      <c r="EC39" s="74"/>
      <c r="ED39" s="74"/>
      <c r="EE39" s="74"/>
      <c r="EF39" s="74"/>
      <c r="EG39" s="74"/>
      <c r="EH39" s="74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  <c r="FC39" s="74"/>
      <c r="FD39" s="74"/>
      <c r="FE39" s="74"/>
      <c r="FF39" s="74"/>
      <c r="FG39" s="74"/>
      <c r="FH39" s="74"/>
      <c r="FI39" s="74"/>
      <c r="FJ39" s="74"/>
      <c r="FK39" s="74"/>
      <c r="FL39" s="74"/>
      <c r="FM39" s="74"/>
      <c r="FN39" s="74"/>
      <c r="FO39" s="74"/>
      <c r="FP39" s="74"/>
      <c r="FQ39" s="74"/>
      <c r="FR39" s="74"/>
      <c r="FS39" s="74"/>
      <c r="FT39" s="74"/>
      <c r="FU39" s="74"/>
      <c r="FV39" s="74"/>
      <c r="FW39" s="75"/>
      <c r="FX39" s="31"/>
      <c r="FY39" s="31"/>
      <c r="FZ39" s="31"/>
      <c r="GA39" s="31"/>
    </row>
    <row r="40" ht="17.25" customHeight="1" outlineLevel="1">
      <c r="A40" s="76"/>
      <c r="B40" s="77" t="s">
        <v>103</v>
      </c>
      <c r="C40" s="154" t="s">
        <v>104</v>
      </c>
      <c r="D40" s="78" t="s">
        <v>46</v>
      </c>
      <c r="E40" s="79">
        <v>45816.0</v>
      </c>
      <c r="F40" s="94">
        <v>45829.0</v>
      </c>
      <c r="G40" s="80">
        <f t="shared" ref="G40:G45" si="17">DAYS360(E40,F40)</f>
        <v>13</v>
      </c>
      <c r="H40" s="80"/>
      <c r="I40" s="81">
        <v>1.0</v>
      </c>
      <c r="J40" s="148"/>
      <c r="K40" s="139"/>
      <c r="L40" s="140"/>
      <c r="M40" s="140"/>
      <c r="N40" s="105"/>
      <c r="O40" s="105"/>
      <c r="P40" s="105"/>
      <c r="Q40" s="105"/>
      <c r="R40" s="105"/>
      <c r="S40" s="105"/>
      <c r="T40" s="84"/>
      <c r="U40" s="84"/>
      <c r="V40" s="84"/>
      <c r="W40" s="84"/>
      <c r="X40" s="155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7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17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17"/>
      <c r="BR40" s="105"/>
      <c r="BS40" s="105"/>
      <c r="BT40" s="105"/>
      <c r="BU40" s="105"/>
      <c r="BV40" s="105"/>
      <c r="BW40" s="105"/>
      <c r="BX40" s="105"/>
      <c r="BY40" s="105"/>
      <c r="BZ40" s="10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92"/>
      <c r="CO40" s="92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  <c r="DQ40" s="92"/>
      <c r="DR40" s="92"/>
      <c r="DS40" s="92"/>
      <c r="DT40" s="92"/>
      <c r="DU40" s="92"/>
      <c r="DV40" s="92"/>
      <c r="DW40" s="92"/>
      <c r="DX40" s="92"/>
      <c r="DY40" s="92"/>
      <c r="EA40" s="92"/>
      <c r="EB40" s="92"/>
      <c r="EC40" s="92"/>
      <c r="ED40" s="92"/>
      <c r="EE40" s="92"/>
      <c r="EF40" s="92"/>
      <c r="EG40" s="92"/>
      <c r="EH40" s="92"/>
      <c r="EI40" s="92"/>
      <c r="EJ40" s="92"/>
      <c r="EK40" s="92"/>
      <c r="EL40" s="92"/>
      <c r="EM40" s="92"/>
      <c r="EN40" s="92"/>
      <c r="EO40" s="92"/>
      <c r="EP40" s="92"/>
      <c r="EQ40" s="92"/>
      <c r="ER40" s="92"/>
      <c r="ES40" s="92"/>
      <c r="ET40" s="92"/>
      <c r="EU40" s="92"/>
      <c r="EV40" s="92"/>
      <c r="EW40" s="92"/>
      <c r="EX40" s="92"/>
      <c r="EY40" s="92"/>
      <c r="EZ40" s="92"/>
      <c r="FA40" s="92"/>
      <c r="FB40" s="92"/>
      <c r="FC40" s="92"/>
      <c r="FD40" s="92"/>
      <c r="FE40" s="92"/>
      <c r="FF40" s="92"/>
      <c r="FG40" s="92"/>
      <c r="FH40" s="92"/>
      <c r="FI40" s="92"/>
      <c r="FJ40" s="92"/>
      <c r="FK40" s="92"/>
      <c r="FL40" s="92"/>
      <c r="FM40" s="92"/>
      <c r="FN40" s="92"/>
      <c r="FO40" s="92"/>
      <c r="FP40" s="92"/>
      <c r="FQ40" s="92"/>
      <c r="FR40" s="92"/>
      <c r="FS40" s="92"/>
      <c r="FT40" s="92"/>
      <c r="FU40" s="92"/>
      <c r="FV40" s="92"/>
      <c r="FW40" s="93"/>
      <c r="FX40" s="76"/>
      <c r="FY40" s="76"/>
      <c r="FZ40" s="76"/>
      <c r="GA40" s="76"/>
    </row>
    <row r="41" ht="17.25" customHeight="1" outlineLevel="1">
      <c r="A41" s="76"/>
      <c r="B41" s="77" t="s">
        <v>105</v>
      </c>
      <c r="C41" s="78" t="s">
        <v>106</v>
      </c>
      <c r="D41" s="78" t="s">
        <v>46</v>
      </c>
      <c r="E41" s="79">
        <v>45816.0</v>
      </c>
      <c r="F41" s="94">
        <v>45829.0</v>
      </c>
      <c r="G41" s="80">
        <f t="shared" si="17"/>
        <v>13</v>
      </c>
      <c r="H41" s="80"/>
      <c r="I41" s="81">
        <v>1.0</v>
      </c>
      <c r="J41" s="148"/>
      <c r="K41" s="139"/>
      <c r="L41" s="140"/>
      <c r="M41" s="140"/>
      <c r="N41" s="105"/>
      <c r="O41" s="156"/>
      <c r="P41" s="96"/>
      <c r="Q41" s="102"/>
      <c r="R41" s="102"/>
      <c r="S41" s="103"/>
      <c r="T41" s="105"/>
      <c r="U41" s="105"/>
      <c r="V41" s="105"/>
      <c r="W41" s="105"/>
      <c r="X41" s="117"/>
      <c r="Y41" s="116"/>
      <c r="Z41" s="116"/>
      <c r="AA41" s="116"/>
      <c r="AB41" s="116"/>
      <c r="AC41" s="116"/>
      <c r="AD41" s="134"/>
      <c r="AE41" s="134"/>
      <c r="AF41" s="134"/>
      <c r="AG41" s="149"/>
      <c r="AH41" s="150"/>
      <c r="AI41" s="150"/>
      <c r="AJ41" s="116"/>
      <c r="AK41" s="116"/>
      <c r="AL41" s="116"/>
      <c r="AM41" s="117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17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17"/>
      <c r="BR41" s="105"/>
      <c r="BS41" s="105"/>
      <c r="BT41" s="105"/>
      <c r="BU41" s="105"/>
      <c r="BV41" s="105"/>
      <c r="BW41" s="105"/>
      <c r="BX41" s="105"/>
      <c r="BY41" s="105"/>
      <c r="BZ41" s="10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92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92"/>
      <c r="DB41" s="92"/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92"/>
      <c r="DO41" s="92"/>
      <c r="DP41" s="92"/>
      <c r="DQ41" s="92"/>
      <c r="DR41" s="92"/>
      <c r="DS41" s="92"/>
      <c r="DT41" s="92"/>
      <c r="DU41" s="92"/>
      <c r="DV41" s="92"/>
      <c r="DW41" s="92"/>
      <c r="DX41" s="92"/>
      <c r="DY41" s="92"/>
      <c r="EA41" s="92"/>
      <c r="EB41" s="92"/>
      <c r="EC41" s="92"/>
      <c r="ED41" s="92"/>
      <c r="EE41" s="92"/>
      <c r="EF41" s="92"/>
      <c r="EG41" s="92"/>
      <c r="EH41" s="92"/>
      <c r="EI41" s="92"/>
      <c r="EJ41" s="92"/>
      <c r="EK41" s="92"/>
      <c r="EL41" s="92"/>
      <c r="EM41" s="92"/>
      <c r="EN41" s="92"/>
      <c r="EO41" s="92"/>
      <c r="EP41" s="92"/>
      <c r="EQ41" s="92"/>
      <c r="ER41" s="92"/>
      <c r="ES41" s="92"/>
      <c r="ET41" s="92"/>
      <c r="EU41" s="92"/>
      <c r="EV41" s="92"/>
      <c r="EW41" s="92"/>
      <c r="EX41" s="92"/>
      <c r="EY41" s="92"/>
      <c r="EZ41" s="92"/>
      <c r="FA41" s="92"/>
      <c r="FB41" s="92"/>
      <c r="FC41" s="92"/>
      <c r="FD41" s="92"/>
      <c r="FE41" s="92"/>
      <c r="FF41" s="92"/>
      <c r="FG41" s="92"/>
      <c r="FH41" s="92"/>
      <c r="FI41" s="92"/>
      <c r="FJ41" s="92"/>
      <c r="FK41" s="92"/>
      <c r="FL41" s="92"/>
      <c r="FM41" s="92"/>
      <c r="FN41" s="92"/>
      <c r="FO41" s="92"/>
      <c r="FP41" s="92"/>
      <c r="FQ41" s="92"/>
      <c r="FR41" s="92"/>
      <c r="FS41" s="92"/>
      <c r="FT41" s="92"/>
      <c r="FU41" s="92"/>
      <c r="FV41" s="92"/>
      <c r="FW41" s="93"/>
      <c r="FX41" s="76"/>
      <c r="FY41" s="76"/>
      <c r="FZ41" s="76"/>
      <c r="GA41" s="76"/>
    </row>
    <row r="42" ht="17.25" customHeight="1" outlineLevel="1">
      <c r="A42" s="76"/>
      <c r="B42" s="77" t="s">
        <v>107</v>
      </c>
      <c r="C42" s="78" t="s">
        <v>108</v>
      </c>
      <c r="D42" s="78" t="s">
        <v>46</v>
      </c>
      <c r="E42" s="79">
        <v>45816.0</v>
      </c>
      <c r="F42" s="94">
        <v>45829.0</v>
      </c>
      <c r="G42" s="80">
        <f t="shared" si="17"/>
        <v>13</v>
      </c>
      <c r="H42" s="80"/>
      <c r="I42" s="81">
        <v>1.0</v>
      </c>
      <c r="J42" s="148"/>
      <c r="K42" s="139"/>
      <c r="L42" s="140"/>
      <c r="M42" s="140"/>
      <c r="N42" s="105"/>
      <c r="O42" s="156"/>
      <c r="P42" s="96"/>
      <c r="Q42" s="102"/>
      <c r="R42" s="102"/>
      <c r="S42" s="103"/>
      <c r="T42" s="105"/>
      <c r="U42" s="105"/>
      <c r="V42" s="105"/>
      <c r="W42" s="105"/>
      <c r="X42" s="117"/>
      <c r="Y42" s="116"/>
      <c r="Z42" s="116"/>
      <c r="AA42" s="116"/>
      <c r="AB42" s="116"/>
      <c r="AC42" s="116"/>
      <c r="AD42" s="134"/>
      <c r="AE42" s="134"/>
      <c r="AF42" s="134"/>
      <c r="AG42" s="149"/>
      <c r="AH42" s="150"/>
      <c r="AI42" s="150"/>
      <c r="AJ42" s="116"/>
      <c r="AK42" s="116"/>
      <c r="AL42" s="116"/>
      <c r="AM42" s="117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17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17"/>
      <c r="BR42" s="105"/>
      <c r="BS42" s="105"/>
      <c r="BT42" s="105"/>
      <c r="BU42" s="105"/>
      <c r="BV42" s="105"/>
      <c r="BW42" s="105"/>
      <c r="BX42" s="105"/>
      <c r="BY42" s="105"/>
      <c r="BZ42" s="10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92"/>
      <c r="CO42" s="92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2"/>
      <c r="DA42" s="92"/>
      <c r="DB42" s="92"/>
      <c r="DC42" s="92"/>
      <c r="DD42" s="92"/>
      <c r="DE42" s="92"/>
      <c r="DF42" s="92"/>
      <c r="DG42" s="92"/>
      <c r="DH42" s="92"/>
      <c r="DI42" s="92"/>
      <c r="DJ42" s="92"/>
      <c r="DK42" s="92"/>
      <c r="DL42" s="92"/>
      <c r="DM42" s="92"/>
      <c r="DN42" s="92"/>
      <c r="DO42" s="92"/>
      <c r="DP42" s="92"/>
      <c r="DQ42" s="92"/>
      <c r="DR42" s="92"/>
      <c r="DS42" s="92"/>
      <c r="DT42" s="92"/>
      <c r="DU42" s="92"/>
      <c r="DV42" s="92"/>
      <c r="DW42" s="92"/>
      <c r="DX42" s="92"/>
      <c r="DY42" s="92"/>
      <c r="EA42" s="92"/>
      <c r="EB42" s="92"/>
      <c r="EC42" s="92"/>
      <c r="ED42" s="92"/>
      <c r="EE42" s="92"/>
      <c r="EF42" s="92"/>
      <c r="EG42" s="92"/>
      <c r="EH42" s="92"/>
      <c r="EI42" s="92"/>
      <c r="EJ42" s="92"/>
      <c r="EK42" s="92"/>
      <c r="EL42" s="92"/>
      <c r="EM42" s="92"/>
      <c r="EN42" s="92"/>
      <c r="EO42" s="92"/>
      <c r="EP42" s="92"/>
      <c r="EQ42" s="92"/>
      <c r="ER42" s="92"/>
      <c r="ES42" s="92"/>
      <c r="ET42" s="92"/>
      <c r="EU42" s="92"/>
      <c r="EV42" s="92"/>
      <c r="EW42" s="92"/>
      <c r="EX42" s="92"/>
      <c r="EY42" s="92"/>
      <c r="EZ42" s="92"/>
      <c r="FA42" s="92"/>
      <c r="FB42" s="92"/>
      <c r="FC42" s="92"/>
      <c r="FD42" s="92"/>
      <c r="FE42" s="92"/>
      <c r="FF42" s="92"/>
      <c r="FG42" s="92"/>
      <c r="FH42" s="92"/>
      <c r="FI42" s="92"/>
      <c r="FJ42" s="92"/>
      <c r="FK42" s="92"/>
      <c r="FL42" s="92"/>
      <c r="FM42" s="92"/>
      <c r="FN42" s="92"/>
      <c r="FO42" s="92"/>
      <c r="FP42" s="92"/>
      <c r="FQ42" s="92"/>
      <c r="FR42" s="92"/>
      <c r="FS42" s="92"/>
      <c r="FT42" s="92"/>
      <c r="FU42" s="92"/>
      <c r="FV42" s="92"/>
      <c r="FW42" s="93"/>
      <c r="FX42" s="76"/>
      <c r="FY42" s="76"/>
      <c r="FZ42" s="76"/>
      <c r="GA42" s="76"/>
    </row>
    <row r="43" ht="17.25" customHeight="1" outlineLevel="1">
      <c r="A43" s="76"/>
      <c r="B43" s="77" t="s">
        <v>109</v>
      </c>
      <c r="C43" s="78" t="s">
        <v>110</v>
      </c>
      <c r="D43" s="78" t="s">
        <v>46</v>
      </c>
      <c r="E43" s="79">
        <v>45830.0</v>
      </c>
      <c r="F43" s="79">
        <v>45843.0</v>
      </c>
      <c r="G43" s="80">
        <f t="shared" si="17"/>
        <v>13</v>
      </c>
      <c r="H43" s="80"/>
      <c r="I43" s="81">
        <v>1.0</v>
      </c>
      <c r="J43" s="148"/>
      <c r="K43" s="139"/>
      <c r="L43" s="140"/>
      <c r="M43" s="140"/>
      <c r="N43" s="105"/>
      <c r="O43" s="138"/>
      <c r="P43" s="139"/>
      <c r="Q43" s="140"/>
      <c r="R43" s="140"/>
      <c r="S43" s="105"/>
      <c r="T43" s="105"/>
      <c r="U43" s="105"/>
      <c r="V43" s="105"/>
      <c r="W43" s="105"/>
      <c r="X43" s="117"/>
      <c r="Y43" s="105"/>
      <c r="Z43" s="105"/>
      <c r="AA43" s="105"/>
      <c r="AB43" s="105"/>
      <c r="AC43" s="105"/>
      <c r="AD43" s="89"/>
      <c r="AE43" s="89"/>
      <c r="AF43" s="89"/>
      <c r="AG43" s="151"/>
      <c r="AH43" s="152"/>
      <c r="AI43" s="152"/>
      <c r="AJ43" s="105"/>
      <c r="AK43" s="105"/>
      <c r="AL43" s="105"/>
      <c r="AM43" s="11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8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17"/>
      <c r="BR43" s="105"/>
      <c r="BS43" s="105"/>
      <c r="BT43" s="105"/>
      <c r="BU43" s="105"/>
      <c r="BV43" s="105"/>
      <c r="BW43" s="105"/>
      <c r="BX43" s="105"/>
      <c r="BY43" s="105"/>
      <c r="BZ43" s="10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  <c r="DQ43" s="92"/>
      <c r="DR43" s="92"/>
      <c r="DS43" s="92"/>
      <c r="DT43" s="92"/>
      <c r="DU43" s="92"/>
      <c r="DV43" s="92"/>
      <c r="DW43" s="92"/>
      <c r="DX43" s="92"/>
      <c r="DY43" s="92"/>
      <c r="EA43" s="92"/>
      <c r="EB43" s="92"/>
      <c r="EC43" s="92"/>
      <c r="ED43" s="92"/>
      <c r="EE43" s="92"/>
      <c r="EF43" s="92"/>
      <c r="EG43" s="92"/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2"/>
      <c r="ET43" s="92"/>
      <c r="EU43" s="92"/>
      <c r="EV43" s="92"/>
      <c r="EW43" s="92"/>
      <c r="EX43" s="92"/>
      <c r="EY43" s="92"/>
      <c r="EZ43" s="92"/>
      <c r="FA43" s="92"/>
      <c r="FB43" s="92"/>
      <c r="FC43" s="92"/>
      <c r="FD43" s="92"/>
      <c r="FE43" s="92"/>
      <c r="FF43" s="92"/>
      <c r="FG43" s="92"/>
      <c r="FH43" s="92"/>
      <c r="FI43" s="92"/>
      <c r="FJ43" s="92"/>
      <c r="FK43" s="92"/>
      <c r="FL43" s="92"/>
      <c r="FM43" s="92"/>
      <c r="FN43" s="92"/>
      <c r="FO43" s="92"/>
      <c r="FP43" s="92"/>
      <c r="FQ43" s="92"/>
      <c r="FR43" s="92"/>
      <c r="FS43" s="92"/>
      <c r="FT43" s="92"/>
      <c r="FU43" s="92"/>
      <c r="FV43" s="92"/>
      <c r="FW43" s="93"/>
      <c r="FX43" s="76"/>
      <c r="FY43" s="76"/>
      <c r="FZ43" s="76"/>
      <c r="GA43" s="76"/>
    </row>
    <row r="44" ht="17.25" customHeight="1" outlineLevel="1">
      <c r="A44" s="76"/>
      <c r="B44" s="77" t="s">
        <v>111</v>
      </c>
      <c r="C44" s="78" t="s">
        <v>112</v>
      </c>
      <c r="D44" s="78" t="s">
        <v>97</v>
      </c>
      <c r="E44" s="79">
        <v>45844.0</v>
      </c>
      <c r="F44" s="79">
        <v>45857.0</v>
      </c>
      <c r="G44" s="80">
        <f t="shared" si="17"/>
        <v>13</v>
      </c>
      <c r="H44" s="80"/>
      <c r="I44" s="81">
        <v>1.0</v>
      </c>
      <c r="J44" s="159"/>
      <c r="K44" s="83"/>
      <c r="L44" s="84"/>
      <c r="M44" s="84"/>
      <c r="N44" s="89"/>
      <c r="O44" s="138"/>
      <c r="P44" s="139"/>
      <c r="Q44" s="140"/>
      <c r="R44" s="140"/>
      <c r="S44" s="105"/>
      <c r="T44" s="89"/>
      <c r="U44" s="89"/>
      <c r="V44" s="89"/>
      <c r="W44" s="89"/>
      <c r="X44" s="90"/>
      <c r="Y44" s="89"/>
      <c r="Z44" s="89"/>
      <c r="AA44" s="89"/>
      <c r="AB44" s="89"/>
      <c r="AC44" s="89"/>
      <c r="AD44" s="89"/>
      <c r="AE44" s="89"/>
      <c r="AF44" s="89"/>
      <c r="AG44" s="144"/>
      <c r="AH44" s="147"/>
      <c r="AI44" s="147"/>
      <c r="AJ44" s="89"/>
      <c r="AK44" s="89"/>
      <c r="AL44" s="89"/>
      <c r="AM44" s="90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90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90"/>
      <c r="BR44" s="89"/>
      <c r="BS44" s="89"/>
      <c r="BT44" s="89"/>
      <c r="BU44" s="89"/>
      <c r="BV44" s="89"/>
      <c r="BW44" s="89"/>
      <c r="BX44" s="89"/>
      <c r="BY44" s="89"/>
      <c r="BZ44" s="89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  <c r="DR44" s="92"/>
      <c r="DS44" s="92"/>
      <c r="DT44" s="92"/>
      <c r="DU44" s="92"/>
      <c r="DV44" s="92"/>
      <c r="DW44" s="92"/>
      <c r="DX44" s="92"/>
      <c r="DY44" s="92"/>
      <c r="EA44" s="92"/>
      <c r="EB44" s="92"/>
      <c r="EC44" s="92"/>
      <c r="ED44" s="92"/>
      <c r="EE44" s="92"/>
      <c r="EF44" s="92"/>
      <c r="EG44" s="92"/>
      <c r="EH44" s="92"/>
      <c r="EI44" s="92"/>
      <c r="EJ44" s="92"/>
      <c r="EK44" s="92"/>
      <c r="EL44" s="92"/>
      <c r="EM44" s="92"/>
      <c r="EN44" s="92"/>
      <c r="EO44" s="92"/>
      <c r="EP44" s="92"/>
      <c r="EQ44" s="92"/>
      <c r="ER44" s="92"/>
      <c r="ES44" s="92"/>
      <c r="ET44" s="92"/>
      <c r="EU44" s="92"/>
      <c r="EV44" s="92"/>
      <c r="EW44" s="92"/>
      <c r="EX44" s="92"/>
      <c r="EY44" s="92"/>
      <c r="EZ44" s="92"/>
      <c r="FA44" s="92"/>
      <c r="FB44" s="92"/>
      <c r="FC44" s="92"/>
      <c r="FD44" s="92"/>
      <c r="FE44" s="92"/>
      <c r="FF44" s="92"/>
      <c r="FG44" s="92"/>
      <c r="FH44" s="92"/>
      <c r="FI44" s="92"/>
      <c r="FJ44" s="92"/>
      <c r="FK44" s="92"/>
      <c r="FL44" s="92"/>
      <c r="FM44" s="92"/>
      <c r="FN44" s="92"/>
      <c r="FO44" s="92"/>
      <c r="FP44" s="92"/>
      <c r="FQ44" s="92"/>
      <c r="FR44" s="92"/>
      <c r="FS44" s="92"/>
      <c r="FT44" s="92"/>
      <c r="FU44" s="92"/>
      <c r="FV44" s="92"/>
      <c r="FW44" s="93"/>
      <c r="FX44" s="76"/>
      <c r="FY44" s="76"/>
      <c r="FZ44" s="76"/>
      <c r="GA44" s="76"/>
    </row>
    <row r="45" ht="17.25" customHeight="1" outlineLevel="1">
      <c r="A45" s="76"/>
      <c r="B45" s="77" t="s">
        <v>113</v>
      </c>
      <c r="C45" s="78" t="s">
        <v>83</v>
      </c>
      <c r="D45" s="78" t="s">
        <v>56</v>
      </c>
      <c r="E45" s="79">
        <v>45858.0</v>
      </c>
      <c r="F45" s="79">
        <v>45866.0</v>
      </c>
      <c r="G45" s="80">
        <f t="shared" si="17"/>
        <v>8</v>
      </c>
      <c r="H45" s="80" t="s">
        <v>114</v>
      </c>
      <c r="I45" s="81">
        <v>1.0</v>
      </c>
      <c r="J45" s="159"/>
      <c r="K45" s="83"/>
      <c r="L45" s="84"/>
      <c r="M45" s="84"/>
      <c r="N45" s="84"/>
      <c r="O45" s="105"/>
      <c r="P45" s="105"/>
      <c r="Q45" s="105"/>
      <c r="R45" s="105"/>
      <c r="S45" s="105"/>
      <c r="T45" s="89"/>
      <c r="U45" s="89"/>
      <c r="V45" s="89"/>
      <c r="W45" s="89"/>
      <c r="X45" s="90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90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90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90"/>
      <c r="BR45" s="134"/>
      <c r="BS45" s="134"/>
      <c r="BT45" s="134"/>
      <c r="BU45" s="134"/>
      <c r="BV45" s="134"/>
      <c r="BW45" s="134"/>
      <c r="BX45" s="134"/>
      <c r="BY45" s="134"/>
      <c r="BZ45" s="134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  <c r="DQ45" s="92"/>
      <c r="DR45" s="92"/>
      <c r="DS45" s="92"/>
      <c r="DT45" s="92"/>
      <c r="DU45" s="92"/>
      <c r="DV45" s="92"/>
      <c r="DW45" s="92"/>
      <c r="DX45" s="92"/>
      <c r="DY45" s="92"/>
      <c r="EA45" s="92"/>
      <c r="EB45" s="92"/>
      <c r="EC45" s="92"/>
      <c r="ED45" s="92"/>
      <c r="EE45" s="92"/>
      <c r="EF45" s="92"/>
      <c r="EG45" s="92"/>
      <c r="EH45" s="92"/>
      <c r="EI45" s="92"/>
      <c r="EJ45" s="92"/>
      <c r="EK45" s="92"/>
      <c r="EL45" s="92"/>
      <c r="EM45" s="92"/>
      <c r="EN45" s="92"/>
      <c r="EO45" s="92"/>
      <c r="EP45" s="92"/>
      <c r="EQ45" s="92"/>
      <c r="ER45" s="92"/>
      <c r="ES45" s="92"/>
      <c r="ET45" s="92"/>
      <c r="EU45" s="92"/>
      <c r="EV45" s="92"/>
      <c r="EW45" s="92"/>
      <c r="EX45" s="92"/>
      <c r="EY45" s="92"/>
      <c r="EZ45" s="92"/>
      <c r="FA45" s="92"/>
      <c r="FB45" s="92"/>
      <c r="FC45" s="92"/>
      <c r="FD45" s="92"/>
      <c r="FE45" s="92"/>
      <c r="FF45" s="92"/>
      <c r="FG45" s="92"/>
      <c r="FH45" s="92"/>
      <c r="FI45" s="92"/>
      <c r="FJ45" s="92"/>
      <c r="FK45" s="92"/>
      <c r="FL45" s="92"/>
      <c r="FM45" s="92"/>
      <c r="FN45" s="92"/>
      <c r="FO45" s="92"/>
      <c r="FP45" s="92"/>
      <c r="FQ45" s="92"/>
      <c r="FR45" s="92"/>
      <c r="FS45" s="92"/>
      <c r="FT45" s="92"/>
      <c r="FU45" s="92"/>
      <c r="FV45" s="92"/>
      <c r="FW45" s="93"/>
      <c r="FX45" s="76"/>
      <c r="FY45" s="76"/>
      <c r="FZ45" s="76"/>
      <c r="GA45" s="76"/>
    </row>
    <row r="46" ht="22.5" customHeight="1">
      <c r="A46" s="31"/>
      <c r="B46" s="70">
        <v>4.0</v>
      </c>
      <c r="C46" s="71" t="s">
        <v>115</v>
      </c>
      <c r="D46" s="72"/>
      <c r="E46" s="72"/>
      <c r="F46" s="72"/>
      <c r="G46" s="72"/>
      <c r="H46" s="72"/>
      <c r="I46" s="72"/>
      <c r="J46" s="153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4"/>
      <c r="DD46" s="74"/>
      <c r="DE46" s="74"/>
      <c r="DF46" s="74"/>
      <c r="DG46" s="74"/>
      <c r="DH46" s="74"/>
      <c r="DI46" s="74"/>
      <c r="DJ46" s="74"/>
      <c r="DK46" s="74"/>
      <c r="DL46" s="74"/>
      <c r="DM46" s="74"/>
      <c r="DN46" s="74"/>
      <c r="DO46" s="74"/>
      <c r="DP46" s="74"/>
      <c r="DQ46" s="74"/>
      <c r="DR46" s="74"/>
      <c r="DS46" s="74"/>
      <c r="DT46" s="74"/>
      <c r="DU46" s="74"/>
      <c r="DV46" s="74"/>
      <c r="DW46" s="74"/>
      <c r="DX46" s="74"/>
      <c r="DY46" s="74"/>
      <c r="EA46" s="74"/>
      <c r="EB46" s="74"/>
      <c r="EC46" s="74"/>
      <c r="ED46" s="74"/>
      <c r="EE46" s="74"/>
      <c r="EF46" s="74"/>
      <c r="EG46" s="74"/>
      <c r="EH46" s="74"/>
      <c r="EI46" s="74"/>
      <c r="EJ46" s="74"/>
      <c r="EK46" s="74"/>
      <c r="EL46" s="74"/>
      <c r="EM46" s="74"/>
      <c r="EN46" s="74"/>
      <c r="EO46" s="7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  <c r="FC46" s="74"/>
      <c r="FD46" s="74"/>
      <c r="FE46" s="74"/>
      <c r="FF46" s="74"/>
      <c r="FG46" s="74"/>
      <c r="FH46" s="74"/>
      <c r="FI46" s="74"/>
      <c r="FJ46" s="74"/>
      <c r="FK46" s="74"/>
      <c r="FL46" s="74"/>
      <c r="FM46" s="74"/>
      <c r="FN46" s="74"/>
      <c r="FO46" s="74"/>
      <c r="FP46" s="74"/>
      <c r="FQ46" s="74"/>
      <c r="FR46" s="74"/>
      <c r="FS46" s="74"/>
      <c r="FT46" s="74"/>
      <c r="FU46" s="74"/>
      <c r="FV46" s="74"/>
      <c r="FW46" s="75"/>
      <c r="FX46" s="31"/>
      <c r="FY46" s="31"/>
      <c r="FZ46" s="31"/>
      <c r="GA46" s="31"/>
    </row>
    <row r="47" ht="17.25" customHeight="1" outlineLevel="1">
      <c r="A47" s="76"/>
      <c r="B47" s="77" t="s">
        <v>116</v>
      </c>
      <c r="C47" s="78" t="s">
        <v>117</v>
      </c>
      <c r="D47" s="78" t="s">
        <v>46</v>
      </c>
      <c r="E47" s="79">
        <v>45830.0</v>
      </c>
      <c r="F47" s="79">
        <v>45857.0</v>
      </c>
      <c r="G47" s="80">
        <f t="shared" ref="G47:G51" si="18">DAYS360(E47,F47)</f>
        <v>27</v>
      </c>
      <c r="H47" s="80"/>
      <c r="I47" s="81">
        <v>1.0</v>
      </c>
      <c r="J47" s="138"/>
      <c r="K47" s="139"/>
      <c r="L47" s="140"/>
      <c r="M47" s="140"/>
      <c r="N47" s="140"/>
      <c r="O47" s="105"/>
      <c r="P47" s="105"/>
      <c r="Q47" s="105"/>
      <c r="R47" s="105"/>
      <c r="S47" s="105"/>
      <c r="T47" s="105"/>
      <c r="U47" s="105"/>
      <c r="V47" s="105"/>
      <c r="W47" s="105"/>
      <c r="X47" s="117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17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7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7"/>
      <c r="BR47" s="105"/>
      <c r="BS47" s="105"/>
      <c r="BT47" s="105"/>
      <c r="BU47" s="105"/>
      <c r="BV47" s="105"/>
      <c r="BW47" s="105"/>
      <c r="BX47" s="105"/>
      <c r="BY47" s="105"/>
      <c r="BZ47" s="10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  <c r="DQ47" s="92"/>
      <c r="DR47" s="92"/>
      <c r="DS47" s="92"/>
      <c r="DT47" s="92"/>
      <c r="DU47" s="92"/>
      <c r="DV47" s="92"/>
      <c r="DW47" s="92"/>
      <c r="DX47" s="92"/>
      <c r="DY47" s="92"/>
      <c r="EA47" s="92"/>
      <c r="EB47" s="92"/>
      <c r="EC47" s="92"/>
      <c r="ED47" s="92"/>
      <c r="EE47" s="92"/>
      <c r="EF47" s="92"/>
      <c r="EG47" s="92"/>
      <c r="EH47" s="92"/>
      <c r="EI47" s="92"/>
      <c r="EJ47" s="92"/>
      <c r="EK47" s="92"/>
      <c r="EL47" s="92"/>
      <c r="EM47" s="92"/>
      <c r="EN47" s="92"/>
      <c r="EO47" s="92"/>
      <c r="EP47" s="92"/>
      <c r="EQ47" s="92"/>
      <c r="ER47" s="92"/>
      <c r="ES47" s="92"/>
      <c r="ET47" s="92"/>
      <c r="EU47" s="92"/>
      <c r="EV47" s="92"/>
      <c r="EW47" s="92"/>
      <c r="EX47" s="92"/>
      <c r="EY47" s="92"/>
      <c r="EZ47" s="92"/>
      <c r="FA47" s="92"/>
      <c r="FB47" s="92"/>
      <c r="FC47" s="92"/>
      <c r="FD47" s="92"/>
      <c r="FE47" s="92"/>
      <c r="FF47" s="92"/>
      <c r="FG47" s="92"/>
      <c r="FH47" s="92"/>
      <c r="FI47" s="92"/>
      <c r="FJ47" s="92"/>
      <c r="FK47" s="92"/>
      <c r="FL47" s="92"/>
      <c r="FM47" s="92"/>
      <c r="FN47" s="92"/>
      <c r="FO47" s="92"/>
      <c r="FP47" s="92"/>
      <c r="FQ47" s="92"/>
      <c r="FR47" s="92"/>
      <c r="FS47" s="92"/>
      <c r="FT47" s="92"/>
      <c r="FU47" s="92"/>
      <c r="FV47" s="92"/>
      <c r="FW47" s="93"/>
      <c r="FX47" s="76"/>
      <c r="FY47" s="76"/>
      <c r="FZ47" s="76"/>
      <c r="GA47" s="76"/>
    </row>
    <row r="48" ht="17.25" customHeight="1" outlineLevel="1">
      <c r="A48" s="76"/>
      <c r="B48" s="77" t="s">
        <v>118</v>
      </c>
      <c r="C48" s="78" t="s">
        <v>119</v>
      </c>
      <c r="D48" s="78" t="s">
        <v>46</v>
      </c>
      <c r="E48" s="79">
        <v>45844.0</v>
      </c>
      <c r="F48" s="79">
        <v>45857.0</v>
      </c>
      <c r="G48" s="80">
        <f t="shared" si="18"/>
        <v>13</v>
      </c>
      <c r="H48" s="80"/>
      <c r="I48" s="81">
        <v>1.0</v>
      </c>
      <c r="J48" s="159"/>
      <c r="K48" s="83"/>
      <c r="L48" s="84"/>
      <c r="M48" s="84"/>
      <c r="N48" s="84"/>
      <c r="O48" s="89"/>
      <c r="P48" s="89"/>
      <c r="Q48" s="89"/>
      <c r="R48" s="89"/>
      <c r="S48" s="89"/>
      <c r="T48" s="89"/>
      <c r="U48" s="89"/>
      <c r="V48" s="89"/>
      <c r="W48" s="89"/>
      <c r="X48" s="90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90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90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90"/>
      <c r="BR48" s="89"/>
      <c r="BS48" s="89"/>
      <c r="BT48" s="89"/>
      <c r="BU48" s="89"/>
      <c r="BV48" s="89"/>
      <c r="BW48" s="89"/>
      <c r="BX48" s="89"/>
      <c r="BY48" s="89"/>
      <c r="BZ48" s="89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3"/>
      <c r="FX48" s="76"/>
      <c r="FY48" s="76"/>
      <c r="FZ48" s="76"/>
      <c r="GA48" s="76"/>
    </row>
    <row r="49" ht="17.25" customHeight="1" outlineLevel="1">
      <c r="A49" s="76"/>
      <c r="B49" s="77" t="s">
        <v>120</v>
      </c>
      <c r="C49" s="78" t="s">
        <v>121</v>
      </c>
      <c r="D49" s="78" t="s">
        <v>46</v>
      </c>
      <c r="E49" s="79">
        <v>45844.0</v>
      </c>
      <c r="F49" s="79">
        <v>45857.0</v>
      </c>
      <c r="G49" s="80">
        <f t="shared" si="18"/>
        <v>13</v>
      </c>
      <c r="H49" s="80"/>
      <c r="I49" s="81">
        <v>1.0</v>
      </c>
      <c r="J49" s="148"/>
      <c r="K49" s="139"/>
      <c r="L49" s="140"/>
      <c r="M49" s="140"/>
      <c r="N49" s="105"/>
      <c r="O49" s="89"/>
      <c r="P49" s="89"/>
      <c r="Q49" s="89"/>
      <c r="R49" s="89"/>
      <c r="S49" s="89"/>
      <c r="T49" s="105"/>
      <c r="U49" s="105"/>
      <c r="V49" s="105"/>
      <c r="W49" s="105"/>
      <c r="X49" s="117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17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17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7"/>
      <c r="BR49" s="105"/>
      <c r="BS49" s="105"/>
      <c r="BT49" s="105"/>
      <c r="BU49" s="105"/>
      <c r="BV49" s="105"/>
      <c r="BW49" s="105"/>
      <c r="BX49" s="105"/>
      <c r="BY49" s="105"/>
      <c r="BZ49" s="10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  <c r="DR49" s="92"/>
      <c r="DS49" s="92"/>
      <c r="DT49" s="92"/>
      <c r="DU49" s="92"/>
      <c r="DV49" s="92"/>
      <c r="DW49" s="92"/>
      <c r="DX49" s="92"/>
      <c r="DY49" s="92"/>
      <c r="EA49" s="92"/>
      <c r="EB49" s="92"/>
      <c r="EC49" s="92"/>
      <c r="ED49" s="92"/>
      <c r="EE49" s="92"/>
      <c r="EF49" s="92"/>
      <c r="EG49" s="92"/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2"/>
      <c r="ET49" s="92"/>
      <c r="EU49" s="92"/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2"/>
      <c r="FH49" s="92"/>
      <c r="FI49" s="92"/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2"/>
      <c r="FV49" s="92"/>
      <c r="FW49" s="93"/>
      <c r="FX49" s="76"/>
      <c r="FY49" s="76"/>
      <c r="FZ49" s="76"/>
      <c r="GA49" s="76"/>
    </row>
    <row r="50" ht="17.25" customHeight="1" outlineLevel="1">
      <c r="A50" s="76"/>
      <c r="B50" s="77" t="s">
        <v>122</v>
      </c>
      <c r="C50" s="78" t="s">
        <v>123</v>
      </c>
      <c r="D50" s="78" t="s">
        <v>124</v>
      </c>
      <c r="E50" s="79">
        <v>45858.0</v>
      </c>
      <c r="F50" s="79">
        <v>45865.0</v>
      </c>
      <c r="G50" s="80">
        <f t="shared" si="18"/>
        <v>7</v>
      </c>
      <c r="H50" s="80"/>
      <c r="I50" s="81">
        <v>1.0</v>
      </c>
      <c r="J50" s="148"/>
      <c r="K50" s="139"/>
      <c r="L50" s="140"/>
      <c r="M50" s="140"/>
      <c r="N50" s="105"/>
      <c r="O50" s="89"/>
      <c r="P50" s="89"/>
      <c r="Q50" s="89"/>
      <c r="R50" s="89"/>
      <c r="S50" s="89"/>
      <c r="T50" s="84"/>
      <c r="U50" s="84"/>
      <c r="V50" s="84"/>
      <c r="W50" s="84"/>
      <c r="X50" s="15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17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17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17"/>
      <c r="BR50" s="116"/>
      <c r="BS50" s="116"/>
      <c r="BT50" s="116"/>
      <c r="BU50" s="116"/>
      <c r="BV50" s="116"/>
      <c r="BW50" s="116"/>
      <c r="BX50" s="116"/>
      <c r="BY50" s="116"/>
      <c r="BZ50" s="10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  <c r="EA50" s="92"/>
      <c r="EB50" s="92"/>
      <c r="EC50" s="92"/>
      <c r="ED50" s="92"/>
      <c r="EE50" s="92"/>
      <c r="EF50" s="92"/>
      <c r="EG50" s="92"/>
      <c r="EH50" s="92"/>
      <c r="EI50" s="92"/>
      <c r="EJ50" s="92"/>
      <c r="EK50" s="92"/>
      <c r="EL50" s="92"/>
      <c r="EM50" s="92"/>
      <c r="EN50" s="92"/>
      <c r="EO50" s="92"/>
      <c r="EP50" s="92"/>
      <c r="EQ50" s="92"/>
      <c r="ER50" s="92"/>
      <c r="ES50" s="92"/>
      <c r="ET50" s="92"/>
      <c r="EU50" s="92"/>
      <c r="EV50" s="92"/>
      <c r="EW50" s="92"/>
      <c r="EX50" s="92"/>
      <c r="EY50" s="92"/>
      <c r="EZ50" s="92"/>
      <c r="FA50" s="92"/>
      <c r="FB50" s="92"/>
      <c r="FC50" s="92"/>
      <c r="FD50" s="92"/>
      <c r="FE50" s="92"/>
      <c r="FF50" s="92"/>
      <c r="FG50" s="92"/>
      <c r="FH50" s="92"/>
      <c r="FI50" s="92"/>
      <c r="FJ50" s="92"/>
      <c r="FK50" s="92"/>
      <c r="FL50" s="92"/>
      <c r="FM50" s="92"/>
      <c r="FN50" s="92"/>
      <c r="FO50" s="92"/>
      <c r="FP50" s="92"/>
      <c r="FQ50" s="92"/>
      <c r="FR50" s="92"/>
      <c r="FS50" s="92"/>
      <c r="FT50" s="92"/>
      <c r="FU50" s="92"/>
      <c r="FV50" s="92"/>
      <c r="FW50" s="93"/>
      <c r="FX50" s="76"/>
      <c r="FY50" s="76"/>
      <c r="FZ50" s="76"/>
      <c r="GA50" s="76"/>
    </row>
    <row r="51" ht="17.25" customHeight="1" outlineLevel="1">
      <c r="A51" s="76"/>
      <c r="B51" s="77" t="s">
        <v>125</v>
      </c>
      <c r="C51" s="78" t="s">
        <v>126</v>
      </c>
      <c r="D51" s="78" t="s">
        <v>97</v>
      </c>
      <c r="E51" s="79">
        <v>45858.0</v>
      </c>
      <c r="F51" s="79">
        <v>45865.0</v>
      </c>
      <c r="G51" s="80">
        <f t="shared" si="18"/>
        <v>7</v>
      </c>
      <c r="H51" s="80"/>
      <c r="I51" s="81">
        <v>1.0</v>
      </c>
      <c r="J51" s="148"/>
      <c r="K51" s="139"/>
      <c r="L51" s="140"/>
      <c r="M51" s="140"/>
      <c r="N51" s="105"/>
      <c r="O51" s="89"/>
      <c r="P51" s="89"/>
      <c r="Q51" s="89"/>
      <c r="R51" s="89"/>
      <c r="S51" s="89"/>
      <c r="T51" s="84"/>
      <c r="U51" s="84"/>
      <c r="V51" s="84"/>
      <c r="W51" s="84"/>
      <c r="X51" s="15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17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17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17"/>
      <c r="BR51" s="116"/>
      <c r="BS51" s="116"/>
      <c r="BT51" s="116"/>
      <c r="BU51" s="116"/>
      <c r="BV51" s="116"/>
      <c r="BW51" s="116"/>
      <c r="BX51" s="116"/>
      <c r="BY51" s="116"/>
      <c r="BZ51" s="10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  <c r="DQ51" s="92"/>
      <c r="DR51" s="92"/>
      <c r="DS51" s="92"/>
      <c r="DT51" s="92"/>
      <c r="DU51" s="92"/>
      <c r="DV51" s="92"/>
      <c r="DW51" s="92"/>
      <c r="DX51" s="92"/>
      <c r="DY51" s="92"/>
      <c r="EA51" s="92"/>
      <c r="EB51" s="92"/>
      <c r="EC51" s="92"/>
      <c r="ED51" s="92"/>
      <c r="EE51" s="92"/>
      <c r="EF51" s="92"/>
      <c r="EG51" s="92"/>
      <c r="EH51" s="92"/>
      <c r="EI51" s="92"/>
      <c r="EJ51" s="92"/>
      <c r="EK51" s="92"/>
      <c r="EL51" s="92"/>
      <c r="EM51" s="92"/>
      <c r="EN51" s="92"/>
      <c r="EO51" s="92"/>
      <c r="EP51" s="92"/>
      <c r="EQ51" s="92"/>
      <c r="ER51" s="92"/>
      <c r="ES51" s="92"/>
      <c r="ET51" s="92"/>
      <c r="EU51" s="92"/>
      <c r="EV51" s="92"/>
      <c r="EW51" s="92"/>
      <c r="EX51" s="92"/>
      <c r="EY51" s="92"/>
      <c r="EZ51" s="92"/>
      <c r="FA51" s="92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2"/>
      <c r="FV51" s="92"/>
      <c r="FW51" s="93"/>
      <c r="FX51" s="76"/>
      <c r="FY51" s="76"/>
      <c r="FZ51" s="76"/>
      <c r="GA51" s="76"/>
    </row>
    <row r="52" ht="30.0" customHeight="1" outlineLevel="1">
      <c r="A52" s="76"/>
      <c r="B52" s="68" t="s">
        <v>127</v>
      </c>
      <c r="J52" s="69"/>
      <c r="CA52" s="160"/>
      <c r="CB52" s="69" t="s">
        <v>128</v>
      </c>
      <c r="EA52" s="92"/>
      <c r="EB52" s="92"/>
      <c r="EC52" s="92"/>
      <c r="ED52" s="92"/>
      <c r="EE52" s="92"/>
      <c r="EF52" s="92"/>
      <c r="EG52" s="92"/>
      <c r="EH52" s="92"/>
      <c r="EI52" s="92"/>
      <c r="EJ52" s="92"/>
      <c r="EK52" s="92"/>
      <c r="EL52" s="92"/>
      <c r="EM52" s="92"/>
      <c r="EN52" s="92"/>
      <c r="EO52" s="92"/>
      <c r="EP52" s="92"/>
      <c r="EQ52" s="92"/>
      <c r="ER52" s="92"/>
      <c r="ES52" s="92"/>
      <c r="ET52" s="92"/>
      <c r="EU52" s="92"/>
      <c r="EV52" s="92"/>
      <c r="EW52" s="92"/>
      <c r="EX52" s="92"/>
      <c r="EY52" s="92"/>
      <c r="EZ52" s="92"/>
      <c r="FA52" s="92"/>
      <c r="FB52" s="92"/>
      <c r="FC52" s="92"/>
      <c r="FD52" s="92"/>
      <c r="FE52" s="92"/>
      <c r="FF52" s="92"/>
      <c r="FG52" s="92"/>
      <c r="FH52" s="92"/>
      <c r="FI52" s="92"/>
      <c r="FJ52" s="92"/>
      <c r="FK52" s="92"/>
      <c r="FL52" s="92"/>
      <c r="FM52" s="92"/>
      <c r="FN52" s="92"/>
      <c r="FO52" s="92"/>
      <c r="FP52" s="92"/>
      <c r="FQ52" s="92"/>
      <c r="FR52" s="92"/>
      <c r="FS52" s="92"/>
      <c r="FT52" s="92"/>
      <c r="FU52" s="92"/>
      <c r="FV52" s="92"/>
      <c r="FW52" s="93"/>
      <c r="GA52" s="76"/>
    </row>
    <row r="53" ht="21.0" customHeight="1" outlineLevel="1">
      <c r="A53" s="76"/>
      <c r="B53" s="161"/>
      <c r="C53" s="161"/>
      <c r="D53" s="161"/>
      <c r="E53" s="161"/>
      <c r="F53" s="161"/>
      <c r="G53" s="161"/>
      <c r="H53" s="161"/>
      <c r="I53" s="161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2"/>
      <c r="BD53" s="162"/>
      <c r="BE53" s="162"/>
      <c r="BF53" s="162"/>
      <c r="BG53" s="162"/>
      <c r="BH53" s="162"/>
      <c r="BI53" s="162"/>
      <c r="BJ53" s="162"/>
      <c r="BK53" s="162"/>
      <c r="BL53" s="162"/>
      <c r="BM53" s="162"/>
      <c r="BN53" s="162"/>
      <c r="BO53" s="162"/>
      <c r="BP53" s="162"/>
      <c r="BQ53" s="162"/>
      <c r="BR53" s="162"/>
      <c r="BS53" s="162"/>
      <c r="BT53" s="162"/>
      <c r="BU53" s="162"/>
      <c r="BV53" s="162"/>
      <c r="BW53" s="162"/>
      <c r="BX53" s="162"/>
      <c r="BY53" s="162"/>
      <c r="BZ53" s="162"/>
      <c r="CA53" s="163"/>
      <c r="CB53" s="60" t="s">
        <v>129</v>
      </c>
      <c r="CP53" s="49" t="s">
        <v>21</v>
      </c>
      <c r="CQ53" s="62" t="s">
        <v>130</v>
      </c>
      <c r="DE53" s="49" t="s">
        <v>21</v>
      </c>
      <c r="DF53" s="60" t="s">
        <v>131</v>
      </c>
      <c r="DT53" s="49" t="s">
        <v>21</v>
      </c>
      <c r="DU53" s="164" t="s">
        <v>132</v>
      </c>
      <c r="DV53" s="165"/>
      <c r="DW53" s="165"/>
      <c r="DX53" s="165"/>
      <c r="DY53" s="166"/>
      <c r="DZ53" s="49" t="s">
        <v>21</v>
      </c>
      <c r="EA53" s="92"/>
      <c r="EB53" s="92"/>
      <c r="EC53" s="92"/>
      <c r="ED53" s="92"/>
      <c r="EE53" s="92"/>
      <c r="EF53" s="92"/>
      <c r="EG53" s="92"/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2"/>
      <c r="ET53" s="92"/>
      <c r="EU53" s="92"/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2"/>
      <c r="FH53" s="92"/>
      <c r="FI53" s="92"/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2"/>
      <c r="FV53" s="92"/>
      <c r="FW53" s="93"/>
      <c r="FX53" s="76"/>
      <c r="FY53" s="76"/>
      <c r="FZ53" s="76"/>
      <c r="GA53" s="76"/>
    </row>
    <row r="54" ht="22.5" customHeight="1" outlineLevel="1">
      <c r="A54" s="76"/>
      <c r="B54" s="70">
        <v>1.0</v>
      </c>
      <c r="C54" s="71" t="s">
        <v>35</v>
      </c>
      <c r="D54" s="72"/>
      <c r="E54" s="72"/>
      <c r="F54" s="72"/>
      <c r="G54" s="72"/>
      <c r="H54" s="72"/>
      <c r="I54" s="72"/>
      <c r="J54" s="167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9"/>
      <c r="CB54" s="170"/>
      <c r="CC54" s="170"/>
      <c r="CD54" s="170"/>
      <c r="CE54" s="170"/>
      <c r="CF54" s="170"/>
      <c r="CG54" s="170"/>
      <c r="CH54" s="170"/>
      <c r="CI54" s="170"/>
      <c r="CJ54" s="170"/>
      <c r="CK54" s="170"/>
      <c r="CL54" s="170"/>
      <c r="CM54" s="170"/>
      <c r="CN54" s="170"/>
      <c r="CO54" s="170"/>
      <c r="CP54" s="61"/>
      <c r="CQ54" s="170"/>
      <c r="CR54" s="170"/>
      <c r="CS54" s="170"/>
      <c r="CT54" s="170"/>
      <c r="CU54" s="170"/>
      <c r="CV54" s="170"/>
      <c r="CW54" s="170"/>
      <c r="CX54" s="170"/>
      <c r="CY54" s="170"/>
      <c r="CZ54" s="170"/>
      <c r="DA54" s="170"/>
      <c r="DB54" s="170"/>
      <c r="DC54" s="170"/>
      <c r="DD54" s="170"/>
      <c r="DE54" s="61"/>
      <c r="DF54" s="170"/>
      <c r="DG54" s="170"/>
      <c r="DH54" s="170"/>
      <c r="DI54" s="170"/>
      <c r="DJ54" s="170"/>
      <c r="DK54" s="170"/>
      <c r="DL54" s="170"/>
      <c r="DM54" s="170"/>
      <c r="DN54" s="170"/>
      <c r="DO54" s="170"/>
      <c r="DP54" s="170"/>
      <c r="DQ54" s="170"/>
      <c r="DR54" s="170"/>
      <c r="DS54" s="170"/>
      <c r="DT54" s="61"/>
      <c r="DU54" s="170"/>
      <c r="DV54" s="170"/>
      <c r="DW54" s="170"/>
      <c r="DX54" s="170"/>
      <c r="DY54" s="171"/>
      <c r="DZ54" s="61"/>
      <c r="EA54" s="92"/>
      <c r="EB54" s="92"/>
      <c r="EC54" s="92"/>
      <c r="ED54" s="92"/>
      <c r="EE54" s="92"/>
      <c r="EF54" s="92"/>
      <c r="EG54" s="92"/>
      <c r="EH54" s="92"/>
      <c r="EI54" s="92"/>
      <c r="EJ54" s="92"/>
      <c r="EK54" s="92"/>
      <c r="EL54" s="92"/>
      <c r="EM54" s="92"/>
      <c r="EN54" s="92"/>
      <c r="EO54" s="92"/>
      <c r="EP54" s="92"/>
      <c r="EQ54" s="92"/>
      <c r="ER54" s="92"/>
      <c r="ES54" s="92"/>
      <c r="ET54" s="92"/>
      <c r="EU54" s="92"/>
      <c r="EV54" s="92"/>
      <c r="EW54" s="92"/>
      <c r="EX54" s="92"/>
      <c r="EY54" s="92"/>
      <c r="EZ54" s="92"/>
      <c r="FA54" s="92"/>
      <c r="FB54" s="92"/>
      <c r="FC54" s="92"/>
      <c r="FD54" s="92"/>
      <c r="FE54" s="92"/>
      <c r="FF54" s="92"/>
      <c r="FG54" s="92"/>
      <c r="FH54" s="92"/>
      <c r="FI54" s="92"/>
      <c r="FJ54" s="92"/>
      <c r="FK54" s="92"/>
      <c r="FL54" s="92"/>
      <c r="FM54" s="92"/>
      <c r="FN54" s="92"/>
      <c r="FO54" s="92"/>
      <c r="FP54" s="92"/>
      <c r="FQ54" s="92"/>
      <c r="FR54" s="92"/>
      <c r="FS54" s="92"/>
      <c r="FT54" s="92"/>
      <c r="FU54" s="92"/>
      <c r="FV54" s="92"/>
      <c r="FW54" s="93"/>
      <c r="FX54" s="76"/>
      <c r="FY54" s="76"/>
      <c r="FZ54" s="76"/>
      <c r="GA54" s="76"/>
    </row>
    <row r="55" ht="17.25" customHeight="1" outlineLevel="1">
      <c r="A55" s="76"/>
      <c r="B55" s="77" t="s">
        <v>36</v>
      </c>
      <c r="C55" s="78" t="s">
        <v>133</v>
      </c>
      <c r="D55" s="78" t="s">
        <v>134</v>
      </c>
      <c r="E55" s="172">
        <v>45882.0</v>
      </c>
      <c r="F55" s="172">
        <v>45895.0</v>
      </c>
      <c r="G55" s="80">
        <f t="shared" ref="G55:G75" si="19">DAYS360(E55,F55)</f>
        <v>13</v>
      </c>
      <c r="H55" s="80" t="s">
        <v>114</v>
      </c>
      <c r="I55" s="81">
        <v>1.0</v>
      </c>
      <c r="J55" s="138"/>
      <c r="K55" s="139"/>
      <c r="L55" s="140"/>
      <c r="M55" s="140"/>
      <c r="N55" s="105"/>
      <c r="O55" s="105"/>
      <c r="P55" s="105"/>
      <c r="Q55" s="105"/>
      <c r="R55" s="105"/>
      <c r="S55" s="105"/>
      <c r="T55" s="140"/>
      <c r="U55" s="140"/>
      <c r="V55" s="140"/>
      <c r="W55" s="140"/>
      <c r="X55" s="140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69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92"/>
      <c r="CO55" s="92"/>
      <c r="CP55" s="173"/>
      <c r="CQ55" s="174"/>
      <c r="CR55" s="174"/>
      <c r="CS55" s="174"/>
      <c r="CT55" s="174"/>
      <c r="CU55" s="174"/>
      <c r="CV55" s="174"/>
      <c r="CW55" s="174"/>
      <c r="CX55" s="174"/>
      <c r="CY55" s="174"/>
      <c r="CZ55" s="174"/>
      <c r="DA55" s="174"/>
      <c r="DB55" s="174"/>
      <c r="DC55" s="174"/>
      <c r="DD55" s="174"/>
      <c r="DE55" s="173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  <c r="DQ55" s="92"/>
      <c r="DR55" s="92"/>
      <c r="DS55" s="92"/>
      <c r="DT55" s="175"/>
      <c r="DU55" s="92"/>
      <c r="DV55" s="92"/>
      <c r="DW55" s="92"/>
      <c r="DX55" s="92"/>
      <c r="DY55" s="92"/>
      <c r="DZ55" s="93"/>
      <c r="EA55" s="92"/>
      <c r="EB55" s="92"/>
      <c r="EC55" s="92"/>
      <c r="ED55" s="92"/>
      <c r="EE55" s="92"/>
      <c r="EF55" s="92"/>
      <c r="EG55" s="92"/>
      <c r="EH55" s="92"/>
      <c r="EI55" s="92"/>
      <c r="EJ55" s="92"/>
      <c r="EK55" s="92"/>
      <c r="EL55" s="92"/>
      <c r="EM55" s="92"/>
      <c r="EN55" s="92"/>
      <c r="EO55" s="92"/>
      <c r="EP55" s="92"/>
      <c r="EQ55" s="92"/>
      <c r="ER55" s="92"/>
      <c r="ES55" s="92"/>
      <c r="ET55" s="92"/>
      <c r="EU55" s="92"/>
      <c r="EV55" s="92"/>
      <c r="EW55" s="92"/>
      <c r="EX55" s="92"/>
      <c r="EY55" s="92"/>
      <c r="EZ55" s="92"/>
      <c r="FA55" s="92"/>
      <c r="FB55" s="92"/>
      <c r="FC55" s="92"/>
      <c r="FD55" s="92"/>
      <c r="FE55" s="92"/>
      <c r="FF55" s="92"/>
      <c r="FG55" s="92"/>
      <c r="FH55" s="92"/>
      <c r="FI55" s="92"/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2"/>
      <c r="FV55" s="92"/>
      <c r="FW55" s="93"/>
      <c r="FX55" s="76"/>
      <c r="FY55" s="76"/>
      <c r="FZ55" s="76"/>
      <c r="GA55" s="76"/>
    </row>
    <row r="56" ht="17.25" customHeight="1" outlineLevel="1">
      <c r="A56" s="76"/>
      <c r="B56" s="77" t="s">
        <v>39</v>
      </c>
      <c r="C56" s="78" t="s">
        <v>135</v>
      </c>
      <c r="D56" s="78" t="s">
        <v>134</v>
      </c>
      <c r="E56" s="172">
        <v>45882.0</v>
      </c>
      <c r="F56" s="172">
        <v>45895.0</v>
      </c>
      <c r="G56" s="80">
        <f t="shared" si="19"/>
        <v>13</v>
      </c>
      <c r="H56" s="80" t="s">
        <v>136</v>
      </c>
      <c r="I56" s="81">
        <v>1.0</v>
      </c>
      <c r="J56" s="138"/>
      <c r="K56" s="139"/>
      <c r="L56" s="140"/>
      <c r="M56" s="140"/>
      <c r="N56" s="105"/>
      <c r="O56" s="105"/>
      <c r="P56" s="105"/>
      <c r="Q56" s="105"/>
      <c r="R56" s="105"/>
      <c r="S56" s="105"/>
      <c r="T56" s="140"/>
      <c r="U56" s="140"/>
      <c r="V56" s="140"/>
      <c r="W56" s="140"/>
      <c r="X56" s="140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69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176"/>
      <c r="CM56" s="65"/>
      <c r="CN56" s="92"/>
      <c r="CO56" s="92"/>
      <c r="CP56" s="177"/>
      <c r="CQ56" s="174"/>
      <c r="CR56" s="174"/>
      <c r="CS56" s="174"/>
      <c r="CT56" s="174"/>
      <c r="CU56" s="174"/>
      <c r="CV56" s="174"/>
      <c r="CW56" s="174"/>
      <c r="CX56" s="174"/>
      <c r="CY56" s="174"/>
      <c r="CZ56" s="174"/>
      <c r="DA56" s="174"/>
      <c r="DB56" s="174"/>
      <c r="DC56" s="174"/>
      <c r="DD56" s="174"/>
      <c r="DE56" s="177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  <c r="DR56" s="92"/>
      <c r="DS56" s="92"/>
      <c r="DT56" s="175"/>
      <c r="DU56" s="92"/>
      <c r="DV56" s="92"/>
      <c r="DW56" s="92"/>
      <c r="DX56" s="92"/>
      <c r="DY56" s="92"/>
      <c r="DZ56" s="93"/>
      <c r="EA56" s="92"/>
      <c r="EB56" s="92"/>
      <c r="EC56" s="92"/>
      <c r="ED56" s="92"/>
      <c r="EE56" s="92"/>
      <c r="EF56" s="92"/>
      <c r="EG56" s="92"/>
      <c r="EH56" s="92"/>
      <c r="EI56" s="92"/>
      <c r="EJ56" s="92"/>
      <c r="EK56" s="92"/>
      <c r="EL56" s="92"/>
      <c r="EM56" s="92"/>
      <c r="EN56" s="92"/>
      <c r="EO56" s="92"/>
      <c r="EP56" s="92"/>
      <c r="EQ56" s="92"/>
      <c r="ER56" s="92"/>
      <c r="ES56" s="92"/>
      <c r="ET56" s="92"/>
      <c r="EU56" s="92"/>
      <c r="EV56" s="92"/>
      <c r="EW56" s="92"/>
      <c r="EX56" s="92"/>
      <c r="EY56" s="92"/>
      <c r="EZ56" s="92"/>
      <c r="FA56" s="92"/>
      <c r="FB56" s="92"/>
      <c r="FC56" s="92"/>
      <c r="FD56" s="92"/>
      <c r="FE56" s="92"/>
      <c r="FF56" s="92"/>
      <c r="FG56" s="92"/>
      <c r="FH56" s="92"/>
      <c r="FI56" s="92"/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2"/>
      <c r="FV56" s="92"/>
      <c r="FW56" s="93"/>
      <c r="FX56" s="76"/>
      <c r="FY56" s="76"/>
      <c r="FZ56" s="76"/>
      <c r="GA56" s="76"/>
    </row>
    <row r="57" ht="17.25" customHeight="1" outlineLevel="1">
      <c r="A57" s="76"/>
      <c r="B57" s="77" t="s">
        <v>41</v>
      </c>
      <c r="C57" s="78" t="s">
        <v>85</v>
      </c>
      <c r="D57" s="78" t="s">
        <v>94</v>
      </c>
      <c r="E57" s="172">
        <v>45882.0</v>
      </c>
      <c r="F57" s="172">
        <v>45895.0</v>
      </c>
      <c r="G57" s="80">
        <f t="shared" si="19"/>
        <v>13</v>
      </c>
      <c r="H57" s="80" t="s">
        <v>137</v>
      </c>
      <c r="I57" s="81">
        <v>1.0</v>
      </c>
      <c r="J57" s="138"/>
      <c r="K57" s="139"/>
      <c r="L57" s="140"/>
      <c r="M57" s="140"/>
      <c r="N57" s="105"/>
      <c r="O57" s="105"/>
      <c r="P57" s="105"/>
      <c r="Q57" s="105"/>
      <c r="R57" s="105"/>
      <c r="S57" s="105"/>
      <c r="T57" s="140"/>
      <c r="U57" s="140"/>
      <c r="V57" s="140"/>
      <c r="W57" s="140"/>
      <c r="X57" s="140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69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178"/>
      <c r="CO57" s="92"/>
      <c r="CP57" s="177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7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  <c r="DQ57" s="92"/>
      <c r="DR57" s="92"/>
      <c r="DS57" s="92"/>
      <c r="DT57" s="175"/>
      <c r="DU57" s="92"/>
      <c r="DV57" s="92"/>
      <c r="DW57" s="92"/>
      <c r="DX57" s="92"/>
      <c r="DY57" s="92"/>
      <c r="DZ57" s="93"/>
      <c r="EA57" s="92"/>
      <c r="EB57" s="92"/>
      <c r="EC57" s="92"/>
      <c r="ED57" s="92"/>
      <c r="EE57" s="92"/>
      <c r="EF57" s="92"/>
      <c r="EG57" s="92"/>
      <c r="EH57" s="92"/>
      <c r="EI57" s="92"/>
      <c r="EJ57" s="92"/>
      <c r="EK57" s="92"/>
      <c r="EL57" s="92"/>
      <c r="EM57" s="92"/>
      <c r="EN57" s="92"/>
      <c r="EO57" s="92"/>
      <c r="EP57" s="92"/>
      <c r="EQ57" s="92"/>
      <c r="ER57" s="92"/>
      <c r="ES57" s="92"/>
      <c r="ET57" s="92"/>
      <c r="EU57" s="92"/>
      <c r="EV57" s="92"/>
      <c r="EW57" s="92"/>
      <c r="EX57" s="92"/>
      <c r="EY57" s="92"/>
      <c r="EZ57" s="92"/>
      <c r="FA57" s="92"/>
      <c r="FB57" s="92"/>
      <c r="FC57" s="92"/>
      <c r="FD57" s="92"/>
      <c r="FE57" s="92"/>
      <c r="FF57" s="92"/>
      <c r="FG57" s="92"/>
      <c r="FH57" s="92"/>
      <c r="FI57" s="92"/>
      <c r="FJ57" s="92"/>
      <c r="FK57" s="92"/>
      <c r="FL57" s="92"/>
      <c r="FM57" s="92"/>
      <c r="FN57" s="92"/>
      <c r="FO57" s="92"/>
      <c r="FP57" s="92"/>
      <c r="FQ57" s="92"/>
      <c r="FR57" s="92"/>
      <c r="FS57" s="92"/>
      <c r="FT57" s="92"/>
      <c r="FU57" s="92"/>
      <c r="FV57" s="92"/>
      <c r="FW57" s="93"/>
      <c r="FX57" s="76"/>
      <c r="FY57" s="76"/>
      <c r="FZ57" s="76"/>
      <c r="GA57" s="76"/>
    </row>
    <row r="58" ht="17.25" customHeight="1" outlineLevel="1">
      <c r="A58" s="76"/>
      <c r="B58" s="77" t="s">
        <v>44</v>
      </c>
      <c r="C58" s="179" t="s">
        <v>138</v>
      </c>
      <c r="D58" s="78" t="s">
        <v>76</v>
      </c>
      <c r="E58" s="172">
        <v>45882.0</v>
      </c>
      <c r="F58" s="172">
        <v>45895.0</v>
      </c>
      <c r="G58" s="80">
        <f t="shared" si="19"/>
        <v>13</v>
      </c>
      <c r="H58" s="80" t="s">
        <v>139</v>
      </c>
      <c r="I58" s="81">
        <v>1.0</v>
      </c>
      <c r="J58" s="138"/>
      <c r="K58" s="139"/>
      <c r="L58" s="140"/>
      <c r="M58" s="140"/>
      <c r="N58" s="105"/>
      <c r="O58" s="105"/>
      <c r="P58" s="105"/>
      <c r="Q58" s="105"/>
      <c r="R58" s="105"/>
      <c r="S58" s="105"/>
      <c r="T58" s="140"/>
      <c r="U58" s="140"/>
      <c r="V58" s="140"/>
      <c r="W58" s="140"/>
      <c r="X58" s="140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69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92"/>
      <c r="CO58" s="92"/>
      <c r="CP58" s="177"/>
      <c r="CQ58" s="174"/>
      <c r="CR58" s="174"/>
      <c r="CS58" s="174"/>
      <c r="CT58" s="174"/>
      <c r="CU58" s="174"/>
      <c r="CV58" s="174"/>
      <c r="CW58" s="174"/>
      <c r="CX58" s="174"/>
      <c r="CY58" s="174"/>
      <c r="CZ58" s="174"/>
      <c r="DA58" s="174"/>
      <c r="DB58" s="174"/>
      <c r="DC58" s="174"/>
      <c r="DD58" s="174"/>
      <c r="DE58" s="177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  <c r="DQ58" s="92"/>
      <c r="DR58" s="92"/>
      <c r="DS58" s="92"/>
      <c r="DT58" s="175"/>
      <c r="DU58" s="92"/>
      <c r="DV58" s="92"/>
      <c r="DW58" s="92"/>
      <c r="DX58" s="92"/>
      <c r="DY58" s="92"/>
      <c r="DZ58" s="93"/>
      <c r="EA58" s="92"/>
      <c r="EB58" s="92"/>
      <c r="EC58" s="92"/>
      <c r="ED58" s="92"/>
      <c r="EE58" s="92"/>
      <c r="EF58" s="92"/>
      <c r="EG58" s="92"/>
      <c r="EH58" s="92"/>
      <c r="EI58" s="92"/>
      <c r="EJ58" s="92"/>
      <c r="EK58" s="92"/>
      <c r="EL58" s="92"/>
      <c r="EM58" s="92"/>
      <c r="EN58" s="92"/>
      <c r="EO58" s="92"/>
      <c r="EP58" s="92"/>
      <c r="EQ58" s="92"/>
      <c r="ER58" s="92"/>
      <c r="ES58" s="92"/>
      <c r="ET58" s="92"/>
      <c r="EU58" s="92"/>
      <c r="EV58" s="92"/>
      <c r="EW58" s="92"/>
      <c r="EX58" s="92"/>
      <c r="EY58" s="92"/>
      <c r="EZ58" s="92"/>
      <c r="FA58" s="92"/>
      <c r="FB58" s="92"/>
      <c r="FC58" s="92"/>
      <c r="FD58" s="92"/>
      <c r="FE58" s="92"/>
      <c r="FF58" s="92"/>
      <c r="FG58" s="92"/>
      <c r="FH58" s="92"/>
      <c r="FI58" s="92"/>
      <c r="FJ58" s="92"/>
      <c r="FK58" s="92"/>
      <c r="FL58" s="92"/>
      <c r="FM58" s="92"/>
      <c r="FN58" s="92"/>
      <c r="FO58" s="92"/>
      <c r="FP58" s="92"/>
      <c r="FQ58" s="92"/>
      <c r="FR58" s="92"/>
      <c r="FS58" s="92"/>
      <c r="FT58" s="92"/>
      <c r="FU58" s="92"/>
      <c r="FV58" s="92"/>
      <c r="FW58" s="93"/>
      <c r="FX58" s="76"/>
      <c r="FY58" s="76"/>
      <c r="FZ58" s="76"/>
      <c r="GA58" s="76"/>
    </row>
    <row r="59" ht="17.25" customHeight="1" outlineLevel="1">
      <c r="A59" s="76"/>
      <c r="B59" s="77" t="s">
        <v>47</v>
      </c>
      <c r="C59" s="78" t="s">
        <v>140</v>
      </c>
      <c r="D59" s="78" t="s">
        <v>43</v>
      </c>
      <c r="E59" s="172">
        <v>45882.0</v>
      </c>
      <c r="F59" s="172">
        <v>45895.0</v>
      </c>
      <c r="G59" s="80">
        <f t="shared" si="19"/>
        <v>13</v>
      </c>
      <c r="H59" s="80"/>
      <c r="I59" s="81">
        <v>1.0</v>
      </c>
      <c r="J59" s="180"/>
      <c r="K59" s="181"/>
      <c r="L59" s="182"/>
      <c r="M59" s="182"/>
      <c r="N59" s="183"/>
      <c r="O59" s="183"/>
      <c r="P59" s="183"/>
      <c r="Q59" s="183"/>
      <c r="R59" s="183"/>
      <c r="S59" s="183"/>
      <c r="T59" s="182"/>
      <c r="U59" s="182"/>
      <c r="V59" s="182"/>
      <c r="W59" s="182"/>
      <c r="X59" s="182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69"/>
      <c r="CB59" s="184"/>
      <c r="CC59" s="184"/>
      <c r="CD59" s="184"/>
      <c r="CE59" s="184"/>
      <c r="CF59" s="184"/>
      <c r="CG59" s="184"/>
      <c r="CH59" s="184"/>
      <c r="CI59" s="184"/>
      <c r="CJ59" s="184"/>
      <c r="CK59" s="184"/>
      <c r="CL59" s="184"/>
      <c r="CM59" s="184"/>
      <c r="CN59" s="185"/>
      <c r="CO59" s="185"/>
      <c r="CP59" s="177"/>
      <c r="CQ59" s="186"/>
      <c r="CR59" s="186"/>
      <c r="CS59" s="186"/>
      <c r="CT59" s="186"/>
      <c r="CU59" s="186"/>
      <c r="CV59" s="186"/>
      <c r="CW59" s="186"/>
      <c r="CX59" s="186"/>
      <c r="CY59" s="186"/>
      <c r="CZ59" s="186"/>
      <c r="DA59" s="186"/>
      <c r="DB59" s="186"/>
      <c r="DC59" s="186"/>
      <c r="DD59" s="186"/>
      <c r="DE59" s="177"/>
      <c r="DF59" s="185"/>
      <c r="DG59" s="185"/>
      <c r="DH59" s="185"/>
      <c r="DI59" s="185"/>
      <c r="DJ59" s="185"/>
      <c r="DK59" s="185"/>
      <c r="DL59" s="185"/>
      <c r="DM59" s="185"/>
      <c r="DN59" s="185"/>
      <c r="DO59" s="185"/>
      <c r="DP59" s="185"/>
      <c r="DQ59" s="185"/>
      <c r="DR59" s="185"/>
      <c r="DS59" s="185"/>
      <c r="DT59" s="175"/>
      <c r="DU59" s="185"/>
      <c r="DV59" s="185"/>
      <c r="DW59" s="185"/>
      <c r="DX59" s="185"/>
      <c r="DY59" s="185"/>
      <c r="DZ59" s="93"/>
      <c r="EA59" s="92"/>
      <c r="EB59" s="92"/>
      <c r="EC59" s="92"/>
      <c r="ED59" s="92"/>
      <c r="EE59" s="92"/>
      <c r="EF59" s="92"/>
      <c r="EG59" s="92"/>
      <c r="EH59" s="92"/>
      <c r="EI59" s="92"/>
      <c r="EJ59" s="92"/>
      <c r="EK59" s="92"/>
      <c r="EL59" s="92"/>
      <c r="EM59" s="92"/>
      <c r="EN59" s="92"/>
      <c r="EO59" s="92"/>
      <c r="EP59" s="92"/>
      <c r="EQ59" s="92"/>
      <c r="ER59" s="92"/>
      <c r="ES59" s="92"/>
      <c r="ET59" s="92"/>
      <c r="EU59" s="92"/>
      <c r="EV59" s="92"/>
      <c r="EW59" s="92"/>
      <c r="EX59" s="92"/>
      <c r="EY59" s="92"/>
      <c r="EZ59" s="92"/>
      <c r="FA59" s="92"/>
      <c r="FB59" s="92"/>
      <c r="FC59" s="92"/>
      <c r="FD59" s="92"/>
      <c r="FE59" s="92"/>
      <c r="FF59" s="92"/>
      <c r="FG59" s="92"/>
      <c r="FH59" s="92"/>
      <c r="FI59" s="92"/>
      <c r="FJ59" s="92"/>
      <c r="FK59" s="92"/>
      <c r="FL59" s="92"/>
      <c r="FM59" s="92"/>
      <c r="FN59" s="92"/>
      <c r="FO59" s="92"/>
      <c r="FP59" s="92"/>
      <c r="FQ59" s="92"/>
      <c r="FR59" s="92"/>
      <c r="FS59" s="92"/>
      <c r="FT59" s="92"/>
      <c r="FU59" s="92"/>
      <c r="FV59" s="92"/>
      <c r="FW59" s="93"/>
      <c r="FX59" s="76"/>
      <c r="FY59" s="76"/>
      <c r="FZ59" s="76"/>
      <c r="GA59" s="76"/>
    </row>
    <row r="60" ht="17.25" customHeight="1" outlineLevel="1">
      <c r="A60" s="76"/>
      <c r="B60" s="77" t="s">
        <v>49</v>
      </c>
      <c r="C60" s="78" t="s">
        <v>141</v>
      </c>
      <c r="D60" s="78" t="s">
        <v>76</v>
      </c>
      <c r="E60" s="172">
        <v>45882.0</v>
      </c>
      <c r="F60" s="172">
        <v>45895.0</v>
      </c>
      <c r="G60" s="80">
        <f t="shared" si="19"/>
        <v>13</v>
      </c>
      <c r="H60" s="80"/>
      <c r="I60" s="81">
        <v>1.0</v>
      </c>
      <c r="J60" s="180"/>
      <c r="K60" s="181"/>
      <c r="L60" s="182"/>
      <c r="M60" s="182"/>
      <c r="N60" s="183"/>
      <c r="O60" s="183"/>
      <c r="P60" s="183"/>
      <c r="Q60" s="183"/>
      <c r="R60" s="183"/>
      <c r="S60" s="183"/>
      <c r="T60" s="182"/>
      <c r="U60" s="182"/>
      <c r="V60" s="182"/>
      <c r="W60" s="182"/>
      <c r="X60" s="182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83"/>
      <c r="BY60" s="183"/>
      <c r="BZ60" s="183"/>
      <c r="CA60" s="169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178"/>
      <c r="CO60" s="92"/>
      <c r="CP60" s="177"/>
      <c r="CQ60" s="187"/>
      <c r="CR60" s="187"/>
      <c r="CS60" s="187"/>
      <c r="CT60" s="187"/>
      <c r="CU60" s="187"/>
      <c r="CV60" s="187"/>
      <c r="CW60" s="187"/>
      <c r="CX60" s="187"/>
      <c r="CY60" s="187"/>
      <c r="CZ60" s="187"/>
      <c r="DA60" s="187"/>
      <c r="DB60" s="188"/>
      <c r="DC60" s="189"/>
      <c r="DD60" s="174"/>
      <c r="DE60" s="177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178"/>
      <c r="DS60" s="92"/>
      <c r="DT60" s="175"/>
      <c r="DU60" s="92"/>
      <c r="DV60" s="92"/>
      <c r="DW60" s="92"/>
      <c r="DX60" s="92"/>
      <c r="DY60" s="92"/>
      <c r="DZ60" s="93"/>
      <c r="EA60" s="92"/>
      <c r="EB60" s="92"/>
      <c r="EC60" s="92"/>
      <c r="ED60" s="92"/>
      <c r="EE60" s="92"/>
      <c r="EF60" s="92"/>
      <c r="EG60" s="92"/>
      <c r="EH60" s="92"/>
      <c r="EI60" s="92"/>
      <c r="EJ60" s="92"/>
      <c r="EK60" s="92"/>
      <c r="EL60" s="92"/>
      <c r="EM60" s="92"/>
      <c r="EN60" s="92"/>
      <c r="EO60" s="92"/>
      <c r="EP60" s="92"/>
      <c r="EQ60" s="92"/>
      <c r="ER60" s="92"/>
      <c r="ES60" s="92"/>
      <c r="ET60" s="92"/>
      <c r="EU60" s="92"/>
      <c r="EV60" s="92"/>
      <c r="EW60" s="92"/>
      <c r="EX60" s="92"/>
      <c r="EY60" s="92"/>
      <c r="EZ60" s="92"/>
      <c r="FA60" s="92"/>
      <c r="FB60" s="92"/>
      <c r="FC60" s="92"/>
      <c r="FD60" s="92"/>
      <c r="FE60" s="92"/>
      <c r="FF60" s="92"/>
      <c r="FG60" s="92"/>
      <c r="FH60" s="92"/>
      <c r="FI60" s="92"/>
      <c r="FJ60" s="92"/>
      <c r="FK60" s="92"/>
      <c r="FL60" s="92"/>
      <c r="FM60" s="92"/>
      <c r="FN60" s="92"/>
      <c r="FO60" s="92"/>
      <c r="FP60" s="92"/>
      <c r="FQ60" s="92"/>
      <c r="FR60" s="92"/>
      <c r="FS60" s="92"/>
      <c r="FT60" s="92"/>
      <c r="FU60" s="92"/>
      <c r="FV60" s="92"/>
      <c r="FW60" s="93"/>
      <c r="FX60" s="76"/>
      <c r="FY60" s="76"/>
      <c r="FZ60" s="76"/>
      <c r="GA60" s="76"/>
    </row>
    <row r="61" ht="17.25" customHeight="1" outlineLevel="1">
      <c r="A61" s="76"/>
      <c r="B61" s="77" t="s">
        <v>52</v>
      </c>
      <c r="C61" s="78" t="s">
        <v>142</v>
      </c>
      <c r="D61" s="78" t="s">
        <v>46</v>
      </c>
      <c r="E61" s="172">
        <v>45882.0</v>
      </c>
      <c r="F61" s="172">
        <v>45895.0</v>
      </c>
      <c r="G61" s="80">
        <f t="shared" si="19"/>
        <v>13</v>
      </c>
      <c r="H61" s="80"/>
      <c r="I61" s="81">
        <v>1.0</v>
      </c>
      <c r="J61" s="180"/>
      <c r="K61" s="181"/>
      <c r="L61" s="182"/>
      <c r="M61" s="182"/>
      <c r="N61" s="183"/>
      <c r="O61" s="183"/>
      <c r="P61" s="183"/>
      <c r="Q61" s="183"/>
      <c r="R61" s="183"/>
      <c r="S61" s="183"/>
      <c r="T61" s="182"/>
      <c r="U61" s="182"/>
      <c r="V61" s="182"/>
      <c r="W61" s="182"/>
      <c r="X61" s="182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83"/>
      <c r="BY61" s="183"/>
      <c r="BZ61" s="183"/>
      <c r="CA61" s="169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92"/>
      <c r="CO61" s="92"/>
      <c r="CP61" s="177"/>
      <c r="CQ61" s="187"/>
      <c r="CR61" s="187"/>
      <c r="CS61" s="187"/>
      <c r="CT61" s="187"/>
      <c r="CU61" s="187"/>
      <c r="CV61" s="187"/>
      <c r="CW61" s="187"/>
      <c r="CX61" s="187"/>
      <c r="CY61" s="187"/>
      <c r="CZ61" s="187"/>
      <c r="DA61" s="187"/>
      <c r="DB61" s="187"/>
      <c r="DC61" s="174"/>
      <c r="DD61" s="174"/>
      <c r="DE61" s="177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92"/>
      <c r="DS61" s="92"/>
      <c r="DT61" s="175"/>
      <c r="DU61" s="92"/>
      <c r="DV61" s="92"/>
      <c r="DW61" s="92"/>
      <c r="DX61" s="92"/>
      <c r="DY61" s="92"/>
      <c r="DZ61" s="93"/>
      <c r="EA61" s="92"/>
      <c r="EB61" s="92"/>
      <c r="EC61" s="92"/>
      <c r="ED61" s="92"/>
      <c r="EE61" s="92"/>
      <c r="EF61" s="92"/>
      <c r="EG61" s="92"/>
      <c r="EH61" s="92"/>
      <c r="EI61" s="92"/>
      <c r="EJ61" s="92"/>
      <c r="EK61" s="92"/>
      <c r="EL61" s="92"/>
      <c r="EM61" s="92"/>
      <c r="EN61" s="92"/>
      <c r="EO61" s="92"/>
      <c r="EP61" s="92"/>
      <c r="EQ61" s="92"/>
      <c r="ER61" s="92"/>
      <c r="ES61" s="92"/>
      <c r="ET61" s="92"/>
      <c r="EU61" s="92"/>
      <c r="EV61" s="92"/>
      <c r="EW61" s="92"/>
      <c r="EX61" s="92"/>
      <c r="EY61" s="92"/>
      <c r="EZ61" s="92"/>
      <c r="FA61" s="92"/>
      <c r="FB61" s="92"/>
      <c r="FC61" s="92"/>
      <c r="FD61" s="92"/>
      <c r="FE61" s="92"/>
      <c r="FF61" s="92"/>
      <c r="FG61" s="92"/>
      <c r="FH61" s="92"/>
      <c r="FI61" s="92"/>
      <c r="FJ61" s="92"/>
      <c r="FK61" s="92"/>
      <c r="FL61" s="92"/>
      <c r="FM61" s="92"/>
      <c r="FN61" s="92"/>
      <c r="FO61" s="92"/>
      <c r="FP61" s="92"/>
      <c r="FQ61" s="92"/>
      <c r="FR61" s="92"/>
      <c r="FS61" s="92"/>
      <c r="FT61" s="92"/>
      <c r="FU61" s="92"/>
      <c r="FV61" s="92"/>
      <c r="FW61" s="93"/>
      <c r="FX61" s="76"/>
      <c r="FY61" s="76"/>
      <c r="FZ61" s="76"/>
      <c r="GA61" s="76"/>
    </row>
    <row r="62" ht="17.25" customHeight="1" outlineLevel="1">
      <c r="A62" s="76"/>
      <c r="B62" s="77" t="s">
        <v>54</v>
      </c>
      <c r="C62" s="78" t="s">
        <v>143</v>
      </c>
      <c r="D62" s="78" t="s">
        <v>46</v>
      </c>
      <c r="E62" s="172">
        <v>45882.0</v>
      </c>
      <c r="F62" s="172">
        <v>45895.0</v>
      </c>
      <c r="G62" s="80">
        <f t="shared" si="19"/>
        <v>13</v>
      </c>
      <c r="H62" s="80"/>
      <c r="I62" s="81">
        <v>1.0</v>
      </c>
      <c r="J62" s="180"/>
      <c r="K62" s="181"/>
      <c r="L62" s="182"/>
      <c r="M62" s="182"/>
      <c r="N62" s="183"/>
      <c r="O62" s="183"/>
      <c r="P62" s="183"/>
      <c r="Q62" s="183"/>
      <c r="R62" s="183"/>
      <c r="S62" s="183"/>
      <c r="T62" s="182"/>
      <c r="U62" s="182"/>
      <c r="V62" s="182"/>
      <c r="W62" s="182"/>
      <c r="X62" s="182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83"/>
      <c r="BY62" s="183"/>
      <c r="BZ62" s="183"/>
      <c r="CA62" s="169"/>
      <c r="CB62" s="184"/>
      <c r="CC62" s="184"/>
      <c r="CD62" s="184"/>
      <c r="CE62" s="184"/>
      <c r="CF62" s="184"/>
      <c r="CG62" s="184"/>
      <c r="CH62" s="184"/>
      <c r="CI62" s="184"/>
      <c r="CJ62" s="184"/>
      <c r="CK62" s="184"/>
      <c r="CL62" s="184"/>
      <c r="CM62" s="184"/>
      <c r="CN62" s="185"/>
      <c r="CO62" s="185"/>
      <c r="CP62" s="17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86"/>
      <c r="DD62" s="186"/>
      <c r="DE62" s="177"/>
      <c r="DF62" s="184"/>
      <c r="DG62" s="184"/>
      <c r="DH62" s="184"/>
      <c r="DI62" s="184"/>
      <c r="DJ62" s="184"/>
      <c r="DK62" s="184"/>
      <c r="DL62" s="184"/>
      <c r="DM62" s="184"/>
      <c r="DN62" s="184"/>
      <c r="DO62" s="184"/>
      <c r="DP62" s="184"/>
      <c r="DQ62" s="184"/>
      <c r="DR62" s="185"/>
      <c r="DS62" s="185"/>
      <c r="DT62" s="175"/>
      <c r="DU62" s="185"/>
      <c r="DV62" s="185"/>
      <c r="DW62" s="185"/>
      <c r="DX62" s="185"/>
      <c r="DY62" s="185"/>
      <c r="DZ62" s="93"/>
      <c r="EA62" s="92"/>
      <c r="EB62" s="92"/>
      <c r="EC62" s="92"/>
      <c r="ED62" s="92"/>
      <c r="EE62" s="92"/>
      <c r="EF62" s="92"/>
      <c r="EG62" s="92"/>
      <c r="EH62" s="92"/>
      <c r="EI62" s="92"/>
      <c r="EJ62" s="92"/>
      <c r="EK62" s="92"/>
      <c r="EL62" s="92"/>
      <c r="EM62" s="92"/>
      <c r="EN62" s="92"/>
      <c r="EO62" s="92"/>
      <c r="EP62" s="92"/>
      <c r="EQ62" s="92"/>
      <c r="ER62" s="92"/>
      <c r="ES62" s="92"/>
      <c r="ET62" s="92"/>
      <c r="EU62" s="92"/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2"/>
      <c r="FH62" s="92"/>
      <c r="FI62" s="92"/>
      <c r="FJ62" s="92"/>
      <c r="FK62" s="92"/>
      <c r="FL62" s="92"/>
      <c r="FM62" s="92"/>
      <c r="FN62" s="92"/>
      <c r="FO62" s="92"/>
      <c r="FP62" s="92"/>
      <c r="FQ62" s="92"/>
      <c r="FR62" s="92"/>
      <c r="FS62" s="92"/>
      <c r="FT62" s="92"/>
      <c r="FU62" s="92"/>
      <c r="FV62" s="92"/>
      <c r="FW62" s="93"/>
      <c r="FX62" s="76"/>
      <c r="FY62" s="76"/>
      <c r="FZ62" s="76"/>
      <c r="GA62" s="76"/>
    </row>
    <row r="63" ht="17.25" customHeight="1" outlineLevel="1">
      <c r="A63" s="76"/>
      <c r="B63" s="77" t="s">
        <v>57</v>
      </c>
      <c r="C63" s="78" t="s">
        <v>144</v>
      </c>
      <c r="D63" s="78" t="s">
        <v>46</v>
      </c>
      <c r="E63" s="172">
        <v>45882.0</v>
      </c>
      <c r="F63" s="172">
        <v>45895.0</v>
      </c>
      <c r="G63" s="80">
        <f t="shared" si="19"/>
        <v>13</v>
      </c>
      <c r="H63" s="80"/>
      <c r="I63" s="81">
        <v>1.0</v>
      </c>
      <c r="J63" s="180"/>
      <c r="K63" s="181"/>
      <c r="L63" s="182"/>
      <c r="M63" s="182"/>
      <c r="N63" s="183"/>
      <c r="O63" s="183"/>
      <c r="P63" s="183"/>
      <c r="Q63" s="183"/>
      <c r="R63" s="183"/>
      <c r="S63" s="183"/>
      <c r="T63" s="182"/>
      <c r="U63" s="182"/>
      <c r="V63" s="182"/>
      <c r="W63" s="182"/>
      <c r="X63" s="182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83"/>
      <c r="BY63" s="183"/>
      <c r="BZ63" s="183"/>
      <c r="CA63" s="169"/>
      <c r="CB63" s="184"/>
      <c r="CC63" s="184"/>
      <c r="CD63" s="184"/>
      <c r="CE63" s="184"/>
      <c r="CF63" s="184"/>
      <c r="CG63" s="184"/>
      <c r="CH63" s="184"/>
      <c r="CI63" s="184"/>
      <c r="CJ63" s="184"/>
      <c r="CK63" s="184"/>
      <c r="CL63" s="184"/>
      <c r="CM63" s="184"/>
      <c r="CN63" s="185"/>
      <c r="CO63" s="185"/>
      <c r="CP63" s="17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86"/>
      <c r="DD63" s="186"/>
      <c r="DE63" s="177"/>
      <c r="DF63" s="184"/>
      <c r="DG63" s="184"/>
      <c r="DH63" s="184"/>
      <c r="DI63" s="184"/>
      <c r="DJ63" s="184"/>
      <c r="DK63" s="184"/>
      <c r="DL63" s="184"/>
      <c r="DM63" s="184"/>
      <c r="DN63" s="184"/>
      <c r="DO63" s="184"/>
      <c r="DP63" s="184"/>
      <c r="DQ63" s="184"/>
      <c r="DR63" s="185"/>
      <c r="DS63" s="185"/>
      <c r="DT63" s="175"/>
      <c r="DU63" s="185"/>
      <c r="DV63" s="185"/>
      <c r="DW63" s="185"/>
      <c r="DX63" s="185"/>
      <c r="DY63" s="185"/>
      <c r="DZ63" s="93"/>
      <c r="EA63" s="92"/>
      <c r="EB63" s="92"/>
      <c r="EC63" s="92"/>
      <c r="ED63" s="92"/>
      <c r="EE63" s="92"/>
      <c r="EF63" s="92"/>
      <c r="EG63" s="92"/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2"/>
      <c r="ET63" s="92"/>
      <c r="EU63" s="92"/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2"/>
      <c r="FH63" s="92"/>
      <c r="FI63" s="92"/>
      <c r="FJ63" s="92"/>
      <c r="FK63" s="92"/>
      <c r="FL63" s="92"/>
      <c r="FM63" s="92"/>
      <c r="FN63" s="92"/>
      <c r="FO63" s="92"/>
      <c r="FP63" s="92"/>
      <c r="FQ63" s="92"/>
      <c r="FR63" s="92"/>
      <c r="FS63" s="92"/>
      <c r="FT63" s="92"/>
      <c r="FU63" s="92"/>
      <c r="FV63" s="92"/>
      <c r="FW63" s="93"/>
      <c r="FX63" s="76"/>
      <c r="FY63" s="76"/>
      <c r="FZ63" s="76"/>
      <c r="GA63" s="76"/>
    </row>
    <row r="64" ht="17.25" customHeight="1" outlineLevel="1">
      <c r="A64" s="76"/>
      <c r="B64" s="77" t="s">
        <v>60</v>
      </c>
      <c r="C64" s="78" t="s">
        <v>145</v>
      </c>
      <c r="D64" s="78" t="s">
        <v>51</v>
      </c>
      <c r="E64" s="172">
        <v>45882.0</v>
      </c>
      <c r="F64" s="172">
        <v>45895.0</v>
      </c>
      <c r="G64" s="80">
        <f t="shared" si="19"/>
        <v>13</v>
      </c>
      <c r="H64" s="80" t="s">
        <v>80</v>
      </c>
      <c r="I64" s="81">
        <v>1.0</v>
      </c>
      <c r="J64" s="180"/>
      <c r="K64" s="181"/>
      <c r="L64" s="182"/>
      <c r="M64" s="182"/>
      <c r="N64" s="183"/>
      <c r="O64" s="183"/>
      <c r="P64" s="183"/>
      <c r="Q64" s="183"/>
      <c r="R64" s="183"/>
      <c r="S64" s="183"/>
      <c r="T64" s="182"/>
      <c r="U64" s="182"/>
      <c r="V64" s="182"/>
      <c r="W64" s="182"/>
      <c r="X64" s="182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83"/>
      <c r="BY64" s="183"/>
      <c r="BZ64" s="183"/>
      <c r="CA64" s="169"/>
      <c r="CB64" s="184"/>
      <c r="CC64" s="184"/>
      <c r="CD64" s="184"/>
      <c r="CE64" s="184"/>
      <c r="CF64" s="184"/>
      <c r="CG64" s="184"/>
      <c r="CH64" s="184"/>
      <c r="CI64" s="184"/>
      <c r="CJ64" s="184"/>
      <c r="CK64" s="184"/>
      <c r="CL64" s="184"/>
      <c r="CM64" s="184"/>
      <c r="CN64" s="185"/>
      <c r="CO64" s="185"/>
      <c r="CP64" s="177"/>
      <c r="CQ64" s="190"/>
      <c r="CR64" s="190"/>
      <c r="CS64" s="190"/>
      <c r="CT64" s="190"/>
      <c r="CU64" s="190"/>
      <c r="CV64" s="190"/>
      <c r="CW64" s="190"/>
      <c r="CX64" s="190"/>
      <c r="CY64" s="190"/>
      <c r="CZ64" s="190"/>
      <c r="DA64" s="190"/>
      <c r="DB64" s="190"/>
      <c r="DC64" s="186"/>
      <c r="DD64" s="186"/>
      <c r="DE64" s="177"/>
      <c r="DF64" s="184"/>
      <c r="DG64" s="184"/>
      <c r="DH64" s="184"/>
      <c r="DI64" s="184"/>
      <c r="DJ64" s="184"/>
      <c r="DK64" s="184"/>
      <c r="DL64" s="184"/>
      <c r="DM64" s="184"/>
      <c r="DN64" s="184"/>
      <c r="DO64" s="184"/>
      <c r="DP64" s="184"/>
      <c r="DQ64" s="184"/>
      <c r="DR64" s="185"/>
      <c r="DS64" s="185"/>
      <c r="DT64" s="175"/>
      <c r="DU64" s="185"/>
      <c r="DV64" s="185"/>
      <c r="DW64" s="185"/>
      <c r="DX64" s="185"/>
      <c r="DY64" s="185"/>
      <c r="DZ64" s="93"/>
      <c r="EA64" s="92"/>
      <c r="EB64" s="92"/>
      <c r="EC64" s="92"/>
      <c r="ED64" s="92"/>
      <c r="EE64" s="92"/>
      <c r="EF64" s="92"/>
      <c r="EG64" s="92"/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2"/>
      <c r="ET64" s="92"/>
      <c r="EU64" s="92"/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2"/>
      <c r="FH64" s="92"/>
      <c r="FI64" s="92"/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2"/>
      <c r="FV64" s="92"/>
      <c r="FW64" s="93"/>
      <c r="FX64" s="76"/>
      <c r="FY64" s="76"/>
      <c r="FZ64" s="76"/>
      <c r="GA64" s="76"/>
    </row>
    <row r="65" ht="17.25" customHeight="1" outlineLevel="1">
      <c r="A65" s="76"/>
      <c r="B65" s="77" t="s">
        <v>64</v>
      </c>
      <c r="C65" s="78" t="s">
        <v>146</v>
      </c>
      <c r="D65" s="78" t="s">
        <v>94</v>
      </c>
      <c r="E65" s="172">
        <v>45896.0</v>
      </c>
      <c r="F65" s="172">
        <v>45909.0</v>
      </c>
      <c r="G65" s="80">
        <f t="shared" si="19"/>
        <v>12</v>
      </c>
      <c r="H65" s="80"/>
      <c r="I65" s="81">
        <v>1.0</v>
      </c>
      <c r="J65" s="180"/>
      <c r="K65" s="181"/>
      <c r="L65" s="182"/>
      <c r="M65" s="182"/>
      <c r="N65" s="183"/>
      <c r="O65" s="183"/>
      <c r="P65" s="183"/>
      <c r="Q65" s="183"/>
      <c r="R65" s="183"/>
      <c r="S65" s="183"/>
      <c r="T65" s="182"/>
      <c r="U65" s="182"/>
      <c r="V65" s="182"/>
      <c r="W65" s="182"/>
      <c r="X65" s="182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83"/>
      <c r="BY65" s="183"/>
      <c r="BZ65" s="183"/>
      <c r="CA65" s="169"/>
      <c r="CB65" s="184"/>
      <c r="CC65" s="184"/>
      <c r="CD65" s="184"/>
      <c r="CE65" s="184"/>
      <c r="CF65" s="184"/>
      <c r="CG65" s="184"/>
      <c r="CH65" s="184"/>
      <c r="CI65" s="184"/>
      <c r="CJ65" s="184"/>
      <c r="CK65" s="184"/>
      <c r="CL65" s="184"/>
      <c r="CM65" s="184"/>
      <c r="CN65" s="185"/>
      <c r="CO65" s="185"/>
      <c r="CP65" s="177"/>
      <c r="CQ65" s="184"/>
      <c r="CR65" s="184"/>
      <c r="CS65" s="184"/>
      <c r="CT65" s="184"/>
      <c r="CU65" s="184"/>
      <c r="CV65" s="184"/>
      <c r="CW65" s="184"/>
      <c r="CX65" s="184"/>
      <c r="CY65" s="184"/>
      <c r="CZ65" s="184"/>
      <c r="DA65" s="184"/>
      <c r="DB65" s="184"/>
      <c r="DC65" s="185"/>
      <c r="DD65" s="185"/>
      <c r="DE65" s="177"/>
      <c r="DF65" s="190"/>
      <c r="DG65" s="190"/>
      <c r="DH65" s="190"/>
      <c r="DI65" s="190"/>
      <c r="DJ65" s="190"/>
      <c r="DK65" s="190"/>
      <c r="DL65" s="190"/>
      <c r="DM65" s="190"/>
      <c r="DN65" s="190"/>
      <c r="DO65" s="190"/>
      <c r="DP65" s="190"/>
      <c r="DQ65" s="190"/>
      <c r="DR65" s="186"/>
      <c r="DS65" s="186"/>
      <c r="DT65" s="175"/>
      <c r="DU65" s="185"/>
      <c r="DV65" s="185"/>
      <c r="DW65" s="185"/>
      <c r="DX65" s="185"/>
      <c r="DY65" s="185"/>
      <c r="DZ65" s="93"/>
      <c r="EA65" s="92"/>
      <c r="EB65" s="92"/>
      <c r="EC65" s="92"/>
      <c r="ED65" s="92"/>
      <c r="EE65" s="92"/>
      <c r="EF65" s="92"/>
      <c r="EG65" s="92"/>
      <c r="EH65" s="92"/>
      <c r="EI65" s="92"/>
      <c r="EJ65" s="92"/>
      <c r="EK65" s="92"/>
      <c r="EL65" s="92"/>
      <c r="EM65" s="92"/>
      <c r="EN65" s="92"/>
      <c r="EO65" s="92"/>
      <c r="EP65" s="92"/>
      <c r="EQ65" s="92"/>
      <c r="ER65" s="92"/>
      <c r="ES65" s="92"/>
      <c r="ET65" s="92"/>
      <c r="EU65" s="92"/>
      <c r="EV65" s="92"/>
      <c r="EW65" s="92"/>
      <c r="EX65" s="92"/>
      <c r="EY65" s="92"/>
      <c r="EZ65" s="92"/>
      <c r="FA65" s="92"/>
      <c r="FB65" s="92"/>
      <c r="FC65" s="92"/>
      <c r="FD65" s="92"/>
      <c r="FE65" s="92"/>
      <c r="FF65" s="92"/>
      <c r="FG65" s="92"/>
      <c r="FH65" s="92"/>
      <c r="FI65" s="92"/>
      <c r="FJ65" s="92"/>
      <c r="FK65" s="92"/>
      <c r="FL65" s="92"/>
      <c r="FM65" s="92"/>
      <c r="FN65" s="92"/>
      <c r="FO65" s="92"/>
      <c r="FP65" s="92"/>
      <c r="FQ65" s="92"/>
      <c r="FR65" s="92"/>
      <c r="FS65" s="92"/>
      <c r="FT65" s="92"/>
      <c r="FU65" s="92"/>
      <c r="FV65" s="92"/>
      <c r="FW65" s="93"/>
      <c r="FX65" s="76"/>
      <c r="FY65" s="76"/>
      <c r="FZ65" s="76"/>
      <c r="GA65" s="76"/>
    </row>
    <row r="66" ht="17.25" customHeight="1" outlineLevel="1">
      <c r="A66" s="76"/>
      <c r="B66" s="77" t="s">
        <v>68</v>
      </c>
      <c r="C66" s="78" t="s">
        <v>147</v>
      </c>
      <c r="D66" s="78" t="s">
        <v>94</v>
      </c>
      <c r="E66" s="172">
        <v>45896.0</v>
      </c>
      <c r="F66" s="172">
        <v>45909.0</v>
      </c>
      <c r="G66" s="80">
        <f t="shared" si="19"/>
        <v>12</v>
      </c>
      <c r="H66" s="80"/>
      <c r="I66" s="81">
        <v>1.0</v>
      </c>
      <c r="J66" s="180"/>
      <c r="K66" s="181"/>
      <c r="L66" s="182"/>
      <c r="M66" s="182"/>
      <c r="N66" s="183"/>
      <c r="O66" s="183"/>
      <c r="P66" s="183"/>
      <c r="Q66" s="183"/>
      <c r="R66" s="183"/>
      <c r="S66" s="183"/>
      <c r="T66" s="182"/>
      <c r="U66" s="182"/>
      <c r="V66" s="182"/>
      <c r="W66" s="182"/>
      <c r="X66" s="182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83"/>
      <c r="BY66" s="183"/>
      <c r="BZ66" s="183"/>
      <c r="CA66" s="169"/>
      <c r="CB66" s="184"/>
      <c r="CC66" s="184"/>
      <c r="CD66" s="184"/>
      <c r="CE66" s="184"/>
      <c r="CF66" s="184"/>
      <c r="CG66" s="184"/>
      <c r="CH66" s="184"/>
      <c r="CI66" s="184"/>
      <c r="CJ66" s="184"/>
      <c r="CK66" s="184"/>
      <c r="CL66" s="184"/>
      <c r="CM66" s="184"/>
      <c r="CN66" s="185"/>
      <c r="CO66" s="185"/>
      <c r="CP66" s="177"/>
      <c r="CQ66" s="184"/>
      <c r="CR66" s="184"/>
      <c r="CS66" s="184"/>
      <c r="CT66" s="184"/>
      <c r="CU66" s="184"/>
      <c r="CV66" s="184"/>
      <c r="CW66" s="184"/>
      <c r="CX66" s="184"/>
      <c r="CY66" s="184"/>
      <c r="CZ66" s="184"/>
      <c r="DA66" s="184"/>
      <c r="DB66" s="184"/>
      <c r="DC66" s="185"/>
      <c r="DD66" s="185"/>
      <c r="DE66" s="177"/>
      <c r="DF66" s="190"/>
      <c r="DG66" s="190"/>
      <c r="DH66" s="190"/>
      <c r="DI66" s="190"/>
      <c r="DJ66" s="190"/>
      <c r="DK66" s="190"/>
      <c r="DL66" s="190"/>
      <c r="DM66" s="190"/>
      <c r="DN66" s="190"/>
      <c r="DO66" s="190"/>
      <c r="DP66" s="190"/>
      <c r="DQ66" s="190"/>
      <c r="DR66" s="186"/>
      <c r="DS66" s="186"/>
      <c r="DT66" s="175"/>
      <c r="DU66" s="185"/>
      <c r="DV66" s="185"/>
      <c r="DW66" s="185"/>
      <c r="DX66" s="185"/>
      <c r="DY66" s="185"/>
      <c r="DZ66" s="93"/>
      <c r="EA66" s="92"/>
      <c r="EB66" s="92"/>
      <c r="EC66" s="92"/>
      <c r="ED66" s="92"/>
      <c r="EE66" s="92"/>
      <c r="EF66" s="92"/>
      <c r="EG66" s="92"/>
      <c r="EH66" s="92"/>
      <c r="EI66" s="92"/>
      <c r="EJ66" s="92"/>
      <c r="EK66" s="92"/>
      <c r="EL66" s="92"/>
      <c r="EM66" s="92"/>
      <c r="EN66" s="92"/>
      <c r="EO66" s="92"/>
      <c r="EP66" s="92"/>
      <c r="EQ66" s="92"/>
      <c r="ER66" s="92"/>
      <c r="ES66" s="92"/>
      <c r="ET66" s="92"/>
      <c r="EU66" s="92"/>
      <c r="EV66" s="92"/>
      <c r="EW66" s="92"/>
      <c r="EX66" s="92"/>
      <c r="EY66" s="92"/>
      <c r="EZ66" s="92"/>
      <c r="FA66" s="92"/>
      <c r="FB66" s="92"/>
      <c r="FC66" s="92"/>
      <c r="FD66" s="92"/>
      <c r="FE66" s="92"/>
      <c r="FF66" s="92"/>
      <c r="FG66" s="92"/>
      <c r="FH66" s="92"/>
      <c r="FI66" s="92"/>
      <c r="FJ66" s="92"/>
      <c r="FK66" s="92"/>
      <c r="FL66" s="92"/>
      <c r="FM66" s="92"/>
      <c r="FN66" s="92"/>
      <c r="FO66" s="92"/>
      <c r="FP66" s="92"/>
      <c r="FQ66" s="92"/>
      <c r="FR66" s="92"/>
      <c r="FS66" s="92"/>
      <c r="FT66" s="92"/>
      <c r="FU66" s="92"/>
      <c r="FV66" s="92"/>
      <c r="FW66" s="93"/>
      <c r="FX66" s="76"/>
      <c r="FY66" s="76"/>
      <c r="FZ66" s="76"/>
      <c r="GA66" s="76"/>
    </row>
    <row r="67" ht="17.25" customHeight="1" outlineLevel="1">
      <c r="A67" s="76"/>
      <c r="B67" s="77" t="s">
        <v>70</v>
      </c>
      <c r="C67" s="78" t="s">
        <v>148</v>
      </c>
      <c r="D67" s="78" t="s">
        <v>94</v>
      </c>
      <c r="E67" s="172">
        <v>45896.0</v>
      </c>
      <c r="F67" s="172">
        <v>45909.0</v>
      </c>
      <c r="G67" s="80">
        <f t="shared" si="19"/>
        <v>12</v>
      </c>
      <c r="H67" s="80"/>
      <c r="I67" s="81">
        <v>1.0</v>
      </c>
      <c r="J67" s="180"/>
      <c r="K67" s="181"/>
      <c r="L67" s="182"/>
      <c r="M67" s="182"/>
      <c r="N67" s="183"/>
      <c r="O67" s="183"/>
      <c r="P67" s="183"/>
      <c r="Q67" s="183"/>
      <c r="R67" s="183"/>
      <c r="S67" s="183"/>
      <c r="T67" s="182"/>
      <c r="U67" s="182"/>
      <c r="V67" s="182"/>
      <c r="W67" s="182"/>
      <c r="X67" s="182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83"/>
      <c r="BY67" s="183"/>
      <c r="BZ67" s="183"/>
      <c r="CA67" s="169"/>
      <c r="CB67" s="184"/>
      <c r="CC67" s="184"/>
      <c r="CD67" s="184"/>
      <c r="CE67" s="184"/>
      <c r="CF67" s="184"/>
      <c r="CG67" s="184"/>
      <c r="CH67" s="184"/>
      <c r="CI67" s="184"/>
      <c r="CJ67" s="184"/>
      <c r="CK67" s="184"/>
      <c r="CL67" s="184"/>
      <c r="CM67" s="184"/>
      <c r="CN67" s="185"/>
      <c r="CO67" s="185"/>
      <c r="CP67" s="177"/>
      <c r="CQ67" s="184"/>
      <c r="CR67" s="184"/>
      <c r="CS67" s="184"/>
      <c r="CT67" s="184"/>
      <c r="CU67" s="184"/>
      <c r="CV67" s="184"/>
      <c r="CW67" s="184"/>
      <c r="CX67" s="184"/>
      <c r="CY67" s="184"/>
      <c r="CZ67" s="184"/>
      <c r="DA67" s="184"/>
      <c r="DB67" s="184"/>
      <c r="DC67" s="185"/>
      <c r="DD67" s="185"/>
      <c r="DE67" s="177"/>
      <c r="DF67" s="190"/>
      <c r="DG67" s="190"/>
      <c r="DH67" s="190"/>
      <c r="DI67" s="190"/>
      <c r="DJ67" s="190"/>
      <c r="DK67" s="190"/>
      <c r="DL67" s="190"/>
      <c r="DM67" s="190"/>
      <c r="DN67" s="190"/>
      <c r="DO67" s="190"/>
      <c r="DP67" s="190"/>
      <c r="DQ67" s="190"/>
      <c r="DR67" s="186"/>
      <c r="DS67" s="186"/>
      <c r="DT67" s="175"/>
      <c r="DU67" s="185"/>
      <c r="DV67" s="185"/>
      <c r="DW67" s="185"/>
      <c r="DX67" s="185"/>
      <c r="DY67" s="185"/>
      <c r="DZ67" s="93"/>
      <c r="EA67" s="92"/>
      <c r="EB67" s="92"/>
      <c r="EC67" s="92"/>
      <c r="ED67" s="92"/>
      <c r="EE67" s="92"/>
      <c r="EF67" s="92"/>
      <c r="EG67" s="92"/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2"/>
      <c r="ET67" s="92"/>
      <c r="EU67" s="92"/>
      <c r="EV67" s="92"/>
      <c r="EW67" s="92"/>
      <c r="EX67" s="92"/>
      <c r="EY67" s="92"/>
      <c r="EZ67" s="92"/>
      <c r="FA67" s="92"/>
      <c r="FB67" s="92"/>
      <c r="FC67" s="92"/>
      <c r="FD67" s="92"/>
      <c r="FE67" s="92"/>
      <c r="FF67" s="92"/>
      <c r="FG67" s="92"/>
      <c r="FH67" s="92"/>
      <c r="FI67" s="92"/>
      <c r="FJ67" s="92"/>
      <c r="FK67" s="92"/>
      <c r="FL67" s="92"/>
      <c r="FM67" s="92"/>
      <c r="FN67" s="92"/>
      <c r="FO67" s="92"/>
      <c r="FP67" s="92"/>
      <c r="FQ67" s="92"/>
      <c r="FR67" s="92"/>
      <c r="FS67" s="92"/>
      <c r="FT67" s="92"/>
      <c r="FU67" s="92"/>
      <c r="FV67" s="92"/>
      <c r="FW67" s="93"/>
      <c r="FX67" s="76"/>
      <c r="FY67" s="76"/>
      <c r="FZ67" s="76"/>
      <c r="GA67" s="76"/>
    </row>
    <row r="68" ht="17.25" customHeight="1" outlineLevel="1">
      <c r="A68" s="76"/>
      <c r="B68" s="77" t="s">
        <v>72</v>
      </c>
      <c r="C68" s="78" t="s">
        <v>149</v>
      </c>
      <c r="D68" s="78" t="s">
        <v>94</v>
      </c>
      <c r="E68" s="172">
        <v>45896.0</v>
      </c>
      <c r="F68" s="172">
        <v>45909.0</v>
      </c>
      <c r="G68" s="80">
        <f t="shared" si="19"/>
        <v>12</v>
      </c>
      <c r="H68" s="80"/>
      <c r="I68" s="81">
        <v>1.0</v>
      </c>
      <c r="J68" s="180"/>
      <c r="K68" s="181"/>
      <c r="L68" s="182"/>
      <c r="M68" s="182"/>
      <c r="N68" s="183"/>
      <c r="O68" s="183"/>
      <c r="P68" s="183"/>
      <c r="Q68" s="183"/>
      <c r="R68" s="183"/>
      <c r="S68" s="183"/>
      <c r="T68" s="182"/>
      <c r="U68" s="182"/>
      <c r="V68" s="182"/>
      <c r="W68" s="182"/>
      <c r="X68" s="182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83"/>
      <c r="BY68" s="183"/>
      <c r="BZ68" s="183"/>
      <c r="CA68" s="169"/>
      <c r="CB68" s="184"/>
      <c r="CC68" s="184"/>
      <c r="CD68" s="184"/>
      <c r="CE68" s="184"/>
      <c r="CF68" s="184"/>
      <c r="CG68" s="184"/>
      <c r="CH68" s="184"/>
      <c r="CI68" s="184"/>
      <c r="CJ68" s="184"/>
      <c r="CK68" s="184"/>
      <c r="CL68" s="184"/>
      <c r="CM68" s="184"/>
      <c r="CN68" s="185"/>
      <c r="CO68" s="185"/>
      <c r="CP68" s="177"/>
      <c r="CQ68" s="184"/>
      <c r="CR68" s="184"/>
      <c r="CS68" s="184"/>
      <c r="CT68" s="184"/>
      <c r="CU68" s="184"/>
      <c r="CV68" s="184"/>
      <c r="CW68" s="184"/>
      <c r="CX68" s="184"/>
      <c r="CY68" s="184"/>
      <c r="CZ68" s="184"/>
      <c r="DA68" s="184"/>
      <c r="DB68" s="184"/>
      <c r="DC68" s="185"/>
      <c r="DD68" s="185"/>
      <c r="DE68" s="177"/>
      <c r="DF68" s="190"/>
      <c r="DG68" s="190"/>
      <c r="DH68" s="190"/>
      <c r="DI68" s="190"/>
      <c r="DJ68" s="190"/>
      <c r="DK68" s="190"/>
      <c r="DL68" s="190"/>
      <c r="DM68" s="190"/>
      <c r="DN68" s="190"/>
      <c r="DO68" s="190"/>
      <c r="DP68" s="190"/>
      <c r="DQ68" s="190"/>
      <c r="DR68" s="186"/>
      <c r="DS68" s="186"/>
      <c r="DT68" s="175"/>
      <c r="DU68" s="185"/>
      <c r="DV68" s="185"/>
      <c r="DW68" s="185"/>
      <c r="DX68" s="185"/>
      <c r="DY68" s="185"/>
      <c r="DZ68" s="93"/>
      <c r="EA68" s="92"/>
      <c r="EB68" s="92"/>
      <c r="EC68" s="92"/>
      <c r="ED68" s="92"/>
      <c r="EE68" s="92"/>
      <c r="EF68" s="92"/>
      <c r="EG68" s="92"/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2"/>
      <c r="ET68" s="92"/>
      <c r="EU68" s="92"/>
      <c r="EV68" s="92"/>
      <c r="EW68" s="92"/>
      <c r="EX68" s="92"/>
      <c r="EY68" s="92"/>
      <c r="EZ68" s="92"/>
      <c r="FA68" s="92"/>
      <c r="FB68" s="92"/>
      <c r="FC68" s="92"/>
      <c r="FD68" s="92"/>
      <c r="FE68" s="92"/>
      <c r="FF68" s="92"/>
      <c r="FG68" s="92"/>
      <c r="FH68" s="92"/>
      <c r="FI68" s="92"/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2"/>
      <c r="FV68" s="92"/>
      <c r="FW68" s="93"/>
      <c r="FX68" s="76"/>
      <c r="FY68" s="76"/>
      <c r="FZ68" s="76"/>
      <c r="GA68" s="76"/>
    </row>
    <row r="69" ht="17.25" customHeight="1" outlineLevel="1">
      <c r="A69" s="76"/>
      <c r="B69" s="77" t="s">
        <v>74</v>
      </c>
      <c r="C69" s="78" t="s">
        <v>150</v>
      </c>
      <c r="D69" s="78" t="s">
        <v>43</v>
      </c>
      <c r="E69" s="172">
        <v>45896.0</v>
      </c>
      <c r="F69" s="172">
        <v>45909.0</v>
      </c>
      <c r="G69" s="80">
        <f t="shared" si="19"/>
        <v>12</v>
      </c>
      <c r="H69" s="80"/>
      <c r="I69" s="81">
        <v>1.0</v>
      </c>
      <c r="J69" s="180"/>
      <c r="K69" s="181"/>
      <c r="L69" s="182"/>
      <c r="M69" s="182"/>
      <c r="N69" s="183"/>
      <c r="O69" s="183"/>
      <c r="P69" s="183"/>
      <c r="Q69" s="183"/>
      <c r="R69" s="183"/>
      <c r="S69" s="183"/>
      <c r="T69" s="182"/>
      <c r="U69" s="182"/>
      <c r="V69" s="182"/>
      <c r="W69" s="182"/>
      <c r="X69" s="182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83"/>
      <c r="BY69" s="183"/>
      <c r="BZ69" s="183"/>
      <c r="CA69" s="169"/>
      <c r="CB69" s="184"/>
      <c r="CC69" s="184"/>
      <c r="CD69" s="184"/>
      <c r="CE69" s="184"/>
      <c r="CF69" s="184"/>
      <c r="CG69" s="184"/>
      <c r="CH69" s="184"/>
      <c r="CI69" s="184"/>
      <c r="CJ69" s="184"/>
      <c r="CK69" s="184"/>
      <c r="CL69" s="184"/>
      <c r="CM69" s="184"/>
      <c r="CN69" s="185"/>
      <c r="CO69" s="185"/>
      <c r="CP69" s="177"/>
      <c r="CQ69" s="184"/>
      <c r="CR69" s="184"/>
      <c r="CS69" s="184"/>
      <c r="CT69" s="184"/>
      <c r="CU69" s="184"/>
      <c r="CV69" s="184"/>
      <c r="CW69" s="184"/>
      <c r="CX69" s="184"/>
      <c r="CY69" s="184"/>
      <c r="CZ69" s="184"/>
      <c r="DA69" s="184"/>
      <c r="DB69" s="184"/>
      <c r="DC69" s="185"/>
      <c r="DD69" s="185"/>
      <c r="DE69" s="177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86"/>
      <c r="DS69" s="186"/>
      <c r="DT69" s="175"/>
      <c r="DU69" s="185"/>
      <c r="DV69" s="185"/>
      <c r="DW69" s="185"/>
      <c r="DX69" s="185"/>
      <c r="DY69" s="185"/>
      <c r="DZ69" s="93"/>
      <c r="EA69" s="92"/>
      <c r="EB69" s="92"/>
      <c r="EC69" s="92"/>
      <c r="ED69" s="92"/>
      <c r="EE69" s="92"/>
      <c r="EF69" s="92"/>
      <c r="EG69" s="92"/>
      <c r="EH69" s="92"/>
      <c r="EI69" s="92"/>
      <c r="EJ69" s="92"/>
      <c r="EK69" s="92"/>
      <c r="EL69" s="92"/>
      <c r="EM69" s="92"/>
      <c r="EN69" s="92"/>
      <c r="EO69" s="92"/>
      <c r="EP69" s="92"/>
      <c r="EQ69" s="92"/>
      <c r="ER69" s="92"/>
      <c r="ES69" s="92"/>
      <c r="ET69" s="92"/>
      <c r="EU69" s="92"/>
      <c r="EV69" s="92"/>
      <c r="EW69" s="92"/>
      <c r="EX69" s="92"/>
      <c r="EY69" s="92"/>
      <c r="EZ69" s="92"/>
      <c r="FA69" s="92"/>
      <c r="FB69" s="92"/>
      <c r="FC69" s="92"/>
      <c r="FD69" s="92"/>
      <c r="FE69" s="92"/>
      <c r="FF69" s="92"/>
      <c r="FG69" s="92"/>
      <c r="FH69" s="92"/>
      <c r="FI69" s="92"/>
      <c r="FJ69" s="92"/>
      <c r="FK69" s="92"/>
      <c r="FL69" s="92"/>
      <c r="FM69" s="92"/>
      <c r="FN69" s="92"/>
      <c r="FO69" s="92"/>
      <c r="FP69" s="92"/>
      <c r="FQ69" s="92"/>
      <c r="FR69" s="92"/>
      <c r="FS69" s="92"/>
      <c r="FT69" s="92"/>
      <c r="FU69" s="92"/>
      <c r="FV69" s="92"/>
      <c r="FW69" s="93"/>
      <c r="FX69" s="76"/>
      <c r="FY69" s="76"/>
      <c r="FZ69" s="76"/>
      <c r="GA69" s="76"/>
    </row>
    <row r="70" ht="17.25" customHeight="1" outlineLevel="1">
      <c r="A70" s="76"/>
      <c r="B70" s="77" t="s">
        <v>79</v>
      </c>
      <c r="C70" s="78" t="s">
        <v>151</v>
      </c>
      <c r="D70" s="78" t="s">
        <v>97</v>
      </c>
      <c r="E70" s="172">
        <v>45896.0</v>
      </c>
      <c r="F70" s="172">
        <v>45909.0</v>
      </c>
      <c r="G70" s="80">
        <f t="shared" si="19"/>
        <v>12</v>
      </c>
      <c r="H70" s="80"/>
      <c r="I70" s="81">
        <v>1.0</v>
      </c>
      <c r="J70" s="180"/>
      <c r="K70" s="181"/>
      <c r="L70" s="182"/>
      <c r="M70" s="182"/>
      <c r="N70" s="183"/>
      <c r="O70" s="183"/>
      <c r="P70" s="183"/>
      <c r="Q70" s="183"/>
      <c r="R70" s="183"/>
      <c r="S70" s="183"/>
      <c r="T70" s="182"/>
      <c r="U70" s="182"/>
      <c r="V70" s="182"/>
      <c r="W70" s="182"/>
      <c r="X70" s="182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69"/>
      <c r="CB70" s="184"/>
      <c r="CC70" s="184"/>
      <c r="CD70" s="184"/>
      <c r="CE70" s="184"/>
      <c r="CF70" s="184"/>
      <c r="CG70" s="184"/>
      <c r="CH70" s="184"/>
      <c r="CI70" s="184"/>
      <c r="CJ70" s="184"/>
      <c r="CK70" s="184"/>
      <c r="CL70" s="184"/>
      <c r="CM70" s="184"/>
      <c r="CN70" s="185"/>
      <c r="CO70" s="185"/>
      <c r="CP70" s="177"/>
      <c r="CQ70" s="184"/>
      <c r="CR70" s="184"/>
      <c r="CS70" s="184"/>
      <c r="CT70" s="184"/>
      <c r="CU70" s="184"/>
      <c r="CV70" s="184"/>
      <c r="CW70" s="184"/>
      <c r="CX70" s="184"/>
      <c r="CY70" s="184"/>
      <c r="CZ70" s="184"/>
      <c r="DA70" s="184"/>
      <c r="DB70" s="184"/>
      <c r="DC70" s="185"/>
      <c r="DD70" s="185"/>
      <c r="DE70" s="177"/>
      <c r="DF70" s="190"/>
      <c r="DG70" s="190"/>
      <c r="DH70" s="190"/>
      <c r="DI70" s="190"/>
      <c r="DJ70" s="190"/>
      <c r="DK70" s="190"/>
      <c r="DL70" s="190"/>
      <c r="DM70" s="190"/>
      <c r="DN70" s="190"/>
      <c r="DO70" s="190"/>
      <c r="DP70" s="190"/>
      <c r="DQ70" s="190"/>
      <c r="DR70" s="186"/>
      <c r="DS70" s="186"/>
      <c r="DT70" s="175"/>
      <c r="DU70" s="185"/>
      <c r="DV70" s="185"/>
      <c r="DW70" s="185"/>
      <c r="DX70" s="185"/>
      <c r="DY70" s="185"/>
      <c r="DZ70" s="93"/>
      <c r="EA70" s="92"/>
      <c r="EB70" s="92"/>
      <c r="EC70" s="92"/>
      <c r="ED70" s="92"/>
      <c r="EE70" s="92"/>
      <c r="EF70" s="92"/>
      <c r="EG70" s="92"/>
      <c r="EH70" s="92"/>
      <c r="EI70" s="92"/>
      <c r="EJ70" s="92"/>
      <c r="EK70" s="92"/>
      <c r="EL70" s="92"/>
      <c r="EM70" s="92"/>
      <c r="EN70" s="92"/>
      <c r="EO70" s="92"/>
      <c r="EP70" s="92"/>
      <c r="EQ70" s="92"/>
      <c r="ER70" s="92"/>
      <c r="ES70" s="92"/>
      <c r="ET70" s="92"/>
      <c r="EU70" s="92"/>
      <c r="EV70" s="92"/>
      <c r="EW70" s="92"/>
      <c r="EX70" s="92"/>
      <c r="EY70" s="92"/>
      <c r="EZ70" s="92"/>
      <c r="FA70" s="92"/>
      <c r="FB70" s="92"/>
      <c r="FC70" s="92"/>
      <c r="FD70" s="92"/>
      <c r="FE70" s="92"/>
      <c r="FF70" s="92"/>
      <c r="FG70" s="92"/>
      <c r="FH70" s="92"/>
      <c r="FI70" s="92"/>
      <c r="FJ70" s="92"/>
      <c r="FK70" s="92"/>
      <c r="FL70" s="92"/>
      <c r="FM70" s="92"/>
      <c r="FN70" s="92"/>
      <c r="FO70" s="92"/>
      <c r="FP70" s="92"/>
      <c r="FQ70" s="92"/>
      <c r="FR70" s="92"/>
      <c r="FS70" s="92"/>
      <c r="FT70" s="92"/>
      <c r="FU70" s="92"/>
      <c r="FV70" s="92"/>
      <c r="FW70" s="93"/>
      <c r="FX70" s="76"/>
      <c r="FY70" s="76"/>
      <c r="FZ70" s="76"/>
      <c r="GA70" s="76"/>
    </row>
    <row r="71" ht="17.25" customHeight="1" outlineLevel="1">
      <c r="A71" s="76"/>
      <c r="B71" s="77" t="s">
        <v>81</v>
      </c>
      <c r="C71" s="78" t="s">
        <v>152</v>
      </c>
      <c r="D71" s="78" t="s">
        <v>97</v>
      </c>
      <c r="E71" s="172">
        <v>45896.0</v>
      </c>
      <c r="F71" s="172">
        <v>45909.0</v>
      </c>
      <c r="G71" s="80">
        <f t="shared" si="19"/>
        <v>12</v>
      </c>
      <c r="H71" s="80"/>
      <c r="I71" s="81">
        <v>1.0</v>
      </c>
      <c r="J71" s="180"/>
      <c r="K71" s="181"/>
      <c r="L71" s="182"/>
      <c r="M71" s="182"/>
      <c r="N71" s="183"/>
      <c r="O71" s="183"/>
      <c r="P71" s="183"/>
      <c r="Q71" s="183"/>
      <c r="R71" s="183"/>
      <c r="S71" s="183"/>
      <c r="T71" s="182"/>
      <c r="U71" s="182"/>
      <c r="V71" s="182"/>
      <c r="W71" s="182"/>
      <c r="X71" s="182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83"/>
      <c r="BY71" s="183"/>
      <c r="BZ71" s="183"/>
      <c r="CA71" s="169"/>
      <c r="CB71" s="184"/>
      <c r="CC71" s="184"/>
      <c r="CD71" s="184"/>
      <c r="CE71" s="184"/>
      <c r="CF71" s="184"/>
      <c r="CG71" s="184"/>
      <c r="CH71" s="184"/>
      <c r="CI71" s="184"/>
      <c r="CJ71" s="184"/>
      <c r="CK71" s="184"/>
      <c r="CL71" s="184"/>
      <c r="CM71" s="184"/>
      <c r="CN71" s="185"/>
      <c r="CO71" s="185"/>
      <c r="CP71" s="177"/>
      <c r="CQ71" s="184"/>
      <c r="CR71" s="184"/>
      <c r="CS71" s="184"/>
      <c r="CT71" s="184"/>
      <c r="CU71" s="184"/>
      <c r="CV71" s="184"/>
      <c r="CW71" s="184"/>
      <c r="CX71" s="184"/>
      <c r="CY71" s="184"/>
      <c r="CZ71" s="184"/>
      <c r="DA71" s="184"/>
      <c r="DB71" s="184"/>
      <c r="DC71" s="185"/>
      <c r="DD71" s="185"/>
      <c r="DE71" s="177"/>
      <c r="DF71" s="190"/>
      <c r="DG71" s="190"/>
      <c r="DH71" s="190"/>
      <c r="DI71" s="190"/>
      <c r="DJ71" s="190"/>
      <c r="DK71" s="190"/>
      <c r="DL71" s="190"/>
      <c r="DM71" s="190"/>
      <c r="DN71" s="190"/>
      <c r="DO71" s="190"/>
      <c r="DP71" s="190"/>
      <c r="DQ71" s="190"/>
      <c r="DR71" s="186"/>
      <c r="DS71" s="186"/>
      <c r="DT71" s="175"/>
      <c r="DU71" s="185"/>
      <c r="DV71" s="185"/>
      <c r="DW71" s="185"/>
      <c r="DX71" s="185"/>
      <c r="DY71" s="185"/>
      <c r="DZ71" s="93"/>
      <c r="EA71" s="92"/>
      <c r="EB71" s="92"/>
      <c r="EC71" s="92"/>
      <c r="ED71" s="92"/>
      <c r="EE71" s="92"/>
      <c r="EF71" s="92"/>
      <c r="EG71" s="92"/>
      <c r="EH71" s="92"/>
      <c r="EI71" s="92"/>
      <c r="EJ71" s="92"/>
      <c r="EK71" s="92"/>
      <c r="EL71" s="92"/>
      <c r="EM71" s="92"/>
      <c r="EN71" s="92"/>
      <c r="EO71" s="92"/>
      <c r="EP71" s="92"/>
      <c r="EQ71" s="92"/>
      <c r="ER71" s="92"/>
      <c r="ES71" s="92"/>
      <c r="ET71" s="92"/>
      <c r="EU71" s="92"/>
      <c r="EV71" s="92"/>
      <c r="EW71" s="92"/>
      <c r="EX71" s="92"/>
      <c r="EY71" s="92"/>
      <c r="EZ71" s="92"/>
      <c r="FA71" s="92"/>
      <c r="FB71" s="92"/>
      <c r="FC71" s="92"/>
      <c r="FD71" s="92"/>
      <c r="FE71" s="92"/>
      <c r="FF71" s="92"/>
      <c r="FG71" s="92"/>
      <c r="FH71" s="92"/>
      <c r="FI71" s="92"/>
      <c r="FJ71" s="92"/>
      <c r="FK71" s="92"/>
      <c r="FL71" s="92"/>
      <c r="FM71" s="92"/>
      <c r="FN71" s="92"/>
      <c r="FO71" s="92"/>
      <c r="FP71" s="92"/>
      <c r="FQ71" s="92"/>
      <c r="FR71" s="92"/>
      <c r="FS71" s="92"/>
      <c r="FT71" s="92"/>
      <c r="FU71" s="92"/>
      <c r="FV71" s="92"/>
      <c r="FW71" s="93"/>
      <c r="FX71" s="76"/>
      <c r="FY71" s="76"/>
      <c r="FZ71" s="76"/>
      <c r="GA71" s="76"/>
    </row>
    <row r="72" ht="17.25" customHeight="1" outlineLevel="1">
      <c r="A72" s="76"/>
      <c r="B72" s="77" t="s">
        <v>84</v>
      </c>
      <c r="C72" s="78" t="s">
        <v>153</v>
      </c>
      <c r="D72" s="78" t="s">
        <v>97</v>
      </c>
      <c r="E72" s="172">
        <v>45896.0</v>
      </c>
      <c r="F72" s="172">
        <v>45909.0</v>
      </c>
      <c r="G72" s="80">
        <f t="shared" si="19"/>
        <v>12</v>
      </c>
      <c r="H72" s="80"/>
      <c r="I72" s="81">
        <v>1.0</v>
      </c>
      <c r="J72" s="180"/>
      <c r="K72" s="181"/>
      <c r="L72" s="182"/>
      <c r="M72" s="182"/>
      <c r="N72" s="183"/>
      <c r="O72" s="183"/>
      <c r="P72" s="183"/>
      <c r="Q72" s="183"/>
      <c r="R72" s="183"/>
      <c r="S72" s="183"/>
      <c r="T72" s="182"/>
      <c r="U72" s="182"/>
      <c r="V72" s="182"/>
      <c r="W72" s="182"/>
      <c r="X72" s="182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83"/>
      <c r="BY72" s="183"/>
      <c r="BZ72" s="183"/>
      <c r="CA72" s="169"/>
      <c r="CB72" s="184"/>
      <c r="CC72" s="184"/>
      <c r="CD72" s="184"/>
      <c r="CE72" s="184"/>
      <c r="CF72" s="184"/>
      <c r="CG72" s="184"/>
      <c r="CH72" s="184"/>
      <c r="CI72" s="184"/>
      <c r="CJ72" s="184"/>
      <c r="CK72" s="184"/>
      <c r="CL72" s="184"/>
      <c r="CM72" s="184"/>
      <c r="CN72" s="185"/>
      <c r="CO72" s="185"/>
      <c r="CP72" s="177"/>
      <c r="CQ72" s="184"/>
      <c r="CR72" s="184"/>
      <c r="CS72" s="184"/>
      <c r="CT72" s="184"/>
      <c r="CU72" s="184"/>
      <c r="CV72" s="184"/>
      <c r="CW72" s="184"/>
      <c r="CX72" s="184"/>
      <c r="CY72" s="184"/>
      <c r="CZ72" s="184"/>
      <c r="DA72" s="184"/>
      <c r="DB72" s="184"/>
      <c r="DC72" s="185"/>
      <c r="DD72" s="185"/>
      <c r="DE72" s="177"/>
      <c r="DF72" s="190"/>
      <c r="DG72" s="190"/>
      <c r="DH72" s="190"/>
      <c r="DI72" s="190"/>
      <c r="DJ72" s="190"/>
      <c r="DK72" s="190"/>
      <c r="DL72" s="190"/>
      <c r="DM72" s="190"/>
      <c r="DN72" s="190"/>
      <c r="DO72" s="190"/>
      <c r="DP72" s="190"/>
      <c r="DQ72" s="190"/>
      <c r="DR72" s="186"/>
      <c r="DS72" s="186"/>
      <c r="DT72" s="175"/>
      <c r="DU72" s="185"/>
      <c r="DV72" s="185"/>
      <c r="DW72" s="185"/>
      <c r="DX72" s="185"/>
      <c r="DY72" s="185"/>
      <c r="DZ72" s="93"/>
      <c r="EA72" s="92"/>
      <c r="EB72" s="92"/>
      <c r="EC72" s="92"/>
      <c r="ED72" s="92"/>
      <c r="EE72" s="92"/>
      <c r="EF72" s="92"/>
      <c r="EG72" s="92"/>
      <c r="EH72" s="92"/>
      <c r="EI72" s="92"/>
      <c r="EJ72" s="92"/>
      <c r="EK72" s="92"/>
      <c r="EL72" s="92"/>
      <c r="EM72" s="92"/>
      <c r="EN72" s="92"/>
      <c r="EO72" s="92"/>
      <c r="EP72" s="92"/>
      <c r="EQ72" s="92"/>
      <c r="ER72" s="92"/>
      <c r="ES72" s="92"/>
      <c r="ET72" s="92"/>
      <c r="EU72" s="92"/>
      <c r="EV72" s="92"/>
      <c r="EW72" s="92"/>
      <c r="EX72" s="92"/>
      <c r="EY72" s="92"/>
      <c r="EZ72" s="92"/>
      <c r="FA72" s="92"/>
      <c r="FB72" s="92"/>
      <c r="FC72" s="92"/>
      <c r="FD72" s="92"/>
      <c r="FE72" s="92"/>
      <c r="FF72" s="92"/>
      <c r="FG72" s="92"/>
      <c r="FH72" s="92"/>
      <c r="FI72" s="92"/>
      <c r="FJ72" s="92"/>
      <c r="FK72" s="92"/>
      <c r="FL72" s="92"/>
      <c r="FM72" s="92"/>
      <c r="FN72" s="92"/>
      <c r="FO72" s="92"/>
      <c r="FP72" s="92"/>
      <c r="FQ72" s="92"/>
      <c r="FR72" s="92"/>
      <c r="FS72" s="92"/>
      <c r="FT72" s="92"/>
      <c r="FU72" s="92"/>
      <c r="FV72" s="92"/>
      <c r="FW72" s="93"/>
      <c r="FX72" s="76"/>
      <c r="FY72" s="76"/>
      <c r="FZ72" s="76"/>
      <c r="GA72" s="76"/>
    </row>
    <row r="73" ht="17.25" customHeight="1" outlineLevel="1">
      <c r="A73" s="76"/>
      <c r="B73" s="77" t="s">
        <v>86</v>
      </c>
      <c r="C73" s="78" t="s">
        <v>154</v>
      </c>
      <c r="D73" s="78" t="s">
        <v>97</v>
      </c>
      <c r="E73" s="172">
        <v>45910.0</v>
      </c>
      <c r="F73" s="172">
        <v>45914.0</v>
      </c>
      <c r="G73" s="80">
        <f t="shared" si="19"/>
        <v>4</v>
      </c>
      <c r="H73" s="78"/>
      <c r="I73" s="81">
        <v>1.0</v>
      </c>
      <c r="J73" s="180"/>
      <c r="K73" s="181"/>
      <c r="L73" s="182"/>
      <c r="M73" s="182"/>
      <c r="N73" s="183"/>
      <c r="O73" s="183"/>
      <c r="P73" s="183"/>
      <c r="Q73" s="183"/>
      <c r="R73" s="183"/>
      <c r="S73" s="183"/>
      <c r="T73" s="182"/>
      <c r="U73" s="182"/>
      <c r="V73" s="182"/>
      <c r="W73" s="182"/>
      <c r="X73" s="182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69"/>
      <c r="CB73" s="184"/>
      <c r="CC73" s="184"/>
      <c r="CD73" s="184"/>
      <c r="CE73" s="184"/>
      <c r="CF73" s="184"/>
      <c r="CG73" s="184"/>
      <c r="CH73" s="184"/>
      <c r="CI73" s="184"/>
      <c r="CJ73" s="184"/>
      <c r="CK73" s="184"/>
      <c r="CL73" s="184"/>
      <c r="CM73" s="184"/>
      <c r="CN73" s="185"/>
      <c r="CO73" s="185"/>
      <c r="CP73" s="177"/>
      <c r="CQ73" s="191"/>
      <c r="CR73" s="191"/>
      <c r="CS73" s="191"/>
      <c r="CT73" s="191"/>
      <c r="CU73" s="191"/>
      <c r="CV73" s="191"/>
      <c r="CW73" s="191"/>
      <c r="CX73" s="191"/>
      <c r="CY73" s="191"/>
      <c r="CZ73" s="191"/>
      <c r="DA73" s="191"/>
      <c r="DB73" s="191"/>
      <c r="DC73" s="192"/>
      <c r="DD73" s="192"/>
      <c r="DE73" s="177"/>
      <c r="DF73" s="191"/>
      <c r="DG73" s="191"/>
      <c r="DH73" s="191"/>
      <c r="DI73" s="191"/>
      <c r="DJ73" s="191"/>
      <c r="DK73" s="191"/>
      <c r="DL73" s="191"/>
      <c r="DM73" s="191"/>
      <c r="DN73" s="191"/>
      <c r="DO73" s="191"/>
      <c r="DP73" s="191"/>
      <c r="DQ73" s="191"/>
      <c r="DR73" s="192"/>
      <c r="DS73" s="192"/>
      <c r="DT73" s="175"/>
      <c r="DU73" s="186"/>
      <c r="DV73" s="186"/>
      <c r="DW73" s="186"/>
      <c r="DX73" s="186"/>
      <c r="DY73" s="186"/>
      <c r="DZ73" s="93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3"/>
      <c r="FX73" s="76"/>
      <c r="FY73" s="76"/>
      <c r="FZ73" s="76"/>
      <c r="GA73" s="76"/>
    </row>
    <row r="74" ht="17.25" customHeight="1" outlineLevel="1">
      <c r="A74" s="76"/>
      <c r="B74" s="77" t="s">
        <v>155</v>
      </c>
      <c r="C74" s="78" t="s">
        <v>156</v>
      </c>
      <c r="D74" s="78" t="s">
        <v>97</v>
      </c>
      <c r="E74" s="172">
        <v>45910.0</v>
      </c>
      <c r="F74" s="172">
        <v>45914.0</v>
      </c>
      <c r="G74" s="80">
        <f t="shared" si="19"/>
        <v>4</v>
      </c>
      <c r="H74" s="78"/>
      <c r="I74" s="81">
        <v>1.0</v>
      </c>
      <c r="J74" s="180"/>
      <c r="K74" s="181"/>
      <c r="L74" s="182"/>
      <c r="M74" s="182"/>
      <c r="N74" s="183"/>
      <c r="O74" s="183"/>
      <c r="P74" s="183"/>
      <c r="Q74" s="183"/>
      <c r="R74" s="183"/>
      <c r="S74" s="183"/>
      <c r="T74" s="182"/>
      <c r="U74" s="182"/>
      <c r="V74" s="182"/>
      <c r="W74" s="182"/>
      <c r="X74" s="182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  <c r="BY74" s="183"/>
      <c r="BZ74" s="183"/>
      <c r="CA74" s="169"/>
      <c r="CB74" s="184"/>
      <c r="CC74" s="184"/>
      <c r="CD74" s="184"/>
      <c r="CE74" s="184"/>
      <c r="CF74" s="184"/>
      <c r="CG74" s="184"/>
      <c r="CH74" s="184"/>
      <c r="CI74" s="184"/>
      <c r="CJ74" s="184"/>
      <c r="CK74" s="184"/>
      <c r="CL74" s="184"/>
      <c r="CM74" s="184"/>
      <c r="CN74" s="185"/>
      <c r="CO74" s="185"/>
      <c r="CP74" s="177"/>
      <c r="CQ74" s="191"/>
      <c r="CR74" s="191"/>
      <c r="CS74" s="191"/>
      <c r="CT74" s="191"/>
      <c r="CU74" s="191"/>
      <c r="CV74" s="191"/>
      <c r="CW74" s="191"/>
      <c r="CX74" s="191"/>
      <c r="CY74" s="191"/>
      <c r="CZ74" s="191"/>
      <c r="DA74" s="191"/>
      <c r="DB74" s="191"/>
      <c r="DC74" s="192"/>
      <c r="DD74" s="192"/>
      <c r="DE74" s="177"/>
      <c r="DF74" s="191"/>
      <c r="DG74" s="191"/>
      <c r="DH74" s="191"/>
      <c r="DI74" s="191"/>
      <c r="DJ74" s="191"/>
      <c r="DK74" s="191"/>
      <c r="DL74" s="191"/>
      <c r="DM74" s="191"/>
      <c r="DN74" s="191"/>
      <c r="DO74" s="191"/>
      <c r="DP74" s="191"/>
      <c r="DQ74" s="191"/>
      <c r="DR74" s="192"/>
      <c r="DS74" s="192"/>
      <c r="DT74" s="175"/>
      <c r="DU74" s="186"/>
      <c r="DV74" s="186"/>
      <c r="DW74" s="186"/>
      <c r="DX74" s="186"/>
      <c r="DY74" s="186"/>
      <c r="DZ74" s="93"/>
      <c r="EA74" s="92"/>
      <c r="EB74" s="92"/>
      <c r="EC74" s="92"/>
      <c r="ED74" s="92"/>
      <c r="EE74" s="92"/>
      <c r="EF74" s="92"/>
      <c r="EG74" s="92"/>
      <c r="EH74" s="92"/>
      <c r="EI74" s="92"/>
      <c r="EJ74" s="92"/>
      <c r="EK74" s="92"/>
      <c r="EL74" s="92"/>
      <c r="EM74" s="92"/>
      <c r="EN74" s="92"/>
      <c r="EO74" s="92"/>
      <c r="EP74" s="92"/>
      <c r="EQ74" s="92"/>
      <c r="ER74" s="92"/>
      <c r="ES74" s="92"/>
      <c r="ET74" s="92"/>
      <c r="EU74" s="92"/>
      <c r="EV74" s="92"/>
      <c r="EW74" s="92"/>
      <c r="EX74" s="92"/>
      <c r="EY74" s="92"/>
      <c r="EZ74" s="92"/>
      <c r="FA74" s="92"/>
      <c r="FB74" s="92"/>
      <c r="FC74" s="92"/>
      <c r="FD74" s="92"/>
      <c r="FE74" s="92"/>
      <c r="FF74" s="92"/>
      <c r="FG74" s="92"/>
      <c r="FH74" s="92"/>
      <c r="FI74" s="92"/>
      <c r="FJ74" s="92"/>
      <c r="FK74" s="92"/>
      <c r="FL74" s="92"/>
      <c r="FM74" s="92"/>
      <c r="FN74" s="92"/>
      <c r="FO74" s="92"/>
      <c r="FP74" s="92"/>
      <c r="FQ74" s="92"/>
      <c r="FR74" s="92"/>
      <c r="FS74" s="92"/>
      <c r="FT74" s="92"/>
      <c r="FU74" s="92"/>
      <c r="FV74" s="92"/>
      <c r="FW74" s="93"/>
      <c r="FX74" s="76"/>
      <c r="FY74" s="76"/>
      <c r="FZ74" s="76"/>
      <c r="GA74" s="76"/>
    </row>
    <row r="75" ht="17.25" customHeight="1" outlineLevel="1">
      <c r="A75" s="76"/>
      <c r="B75" s="77" t="s">
        <v>77</v>
      </c>
      <c r="C75" s="78" t="s">
        <v>157</v>
      </c>
      <c r="D75" s="78" t="s">
        <v>43</v>
      </c>
      <c r="E75" s="172">
        <v>45910.0</v>
      </c>
      <c r="F75" s="172">
        <v>45914.0</v>
      </c>
      <c r="G75" s="80">
        <f t="shared" si="19"/>
        <v>4</v>
      </c>
      <c r="H75" s="80"/>
      <c r="I75" s="81">
        <v>1.0</v>
      </c>
      <c r="J75" s="180"/>
      <c r="K75" s="181"/>
      <c r="L75" s="182"/>
      <c r="M75" s="182"/>
      <c r="N75" s="183"/>
      <c r="O75" s="183"/>
      <c r="P75" s="183"/>
      <c r="Q75" s="183"/>
      <c r="R75" s="183"/>
      <c r="S75" s="183"/>
      <c r="T75" s="182"/>
      <c r="U75" s="182"/>
      <c r="V75" s="182"/>
      <c r="W75" s="182"/>
      <c r="X75" s="182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83"/>
      <c r="BY75" s="183"/>
      <c r="BZ75" s="183"/>
      <c r="CA75" s="169"/>
      <c r="CB75" s="184"/>
      <c r="CC75" s="184"/>
      <c r="CD75" s="184"/>
      <c r="CE75" s="184"/>
      <c r="CF75" s="184"/>
      <c r="CG75" s="184"/>
      <c r="CH75" s="184"/>
      <c r="CI75" s="184"/>
      <c r="CJ75" s="184"/>
      <c r="CK75" s="184"/>
      <c r="CL75" s="184"/>
      <c r="CM75" s="184"/>
      <c r="CN75" s="185"/>
      <c r="CO75" s="185"/>
      <c r="CP75" s="177"/>
      <c r="CQ75" s="184"/>
      <c r="CR75" s="184"/>
      <c r="CS75" s="184"/>
      <c r="CT75" s="184"/>
      <c r="CU75" s="184"/>
      <c r="CV75" s="184"/>
      <c r="CW75" s="184"/>
      <c r="CX75" s="184"/>
      <c r="CY75" s="184"/>
      <c r="CZ75" s="184"/>
      <c r="DA75" s="184"/>
      <c r="DB75" s="184"/>
      <c r="DC75" s="185"/>
      <c r="DD75" s="185"/>
      <c r="DE75" s="177"/>
      <c r="DF75" s="184"/>
      <c r="DG75" s="184"/>
      <c r="DH75" s="184"/>
      <c r="DI75" s="184"/>
      <c r="DJ75" s="184"/>
      <c r="DK75" s="184"/>
      <c r="DL75" s="184"/>
      <c r="DM75" s="184"/>
      <c r="DN75" s="184"/>
      <c r="DO75" s="184"/>
      <c r="DP75" s="184"/>
      <c r="DQ75" s="184"/>
      <c r="DR75" s="185"/>
      <c r="DS75" s="185"/>
      <c r="DT75" s="175"/>
      <c r="DU75" s="186"/>
      <c r="DV75" s="186"/>
      <c r="DW75" s="186"/>
      <c r="DX75" s="186"/>
      <c r="DY75" s="186"/>
      <c r="DZ75" s="93"/>
      <c r="EA75" s="92"/>
      <c r="EB75" s="92"/>
      <c r="EC75" s="92"/>
      <c r="ED75" s="92"/>
      <c r="EE75" s="92"/>
      <c r="EF75" s="92"/>
      <c r="EG75" s="92"/>
      <c r="EH75" s="92"/>
      <c r="EI75" s="92"/>
      <c r="EJ75" s="92"/>
      <c r="EK75" s="92"/>
      <c r="EL75" s="92"/>
      <c r="EM75" s="92"/>
      <c r="EN75" s="92"/>
      <c r="EO75" s="92"/>
      <c r="EP75" s="92"/>
      <c r="EQ75" s="92"/>
      <c r="ER75" s="92"/>
      <c r="ES75" s="92"/>
      <c r="ET75" s="92"/>
      <c r="EU75" s="92"/>
      <c r="EV75" s="92"/>
      <c r="EW75" s="92"/>
      <c r="EX75" s="92"/>
      <c r="EY75" s="92"/>
      <c r="EZ75" s="92"/>
      <c r="FA75" s="92"/>
      <c r="FB75" s="92"/>
      <c r="FC75" s="92"/>
      <c r="FD75" s="92"/>
      <c r="FE75" s="92"/>
      <c r="FF75" s="92"/>
      <c r="FG75" s="92"/>
      <c r="FH75" s="92"/>
      <c r="FI75" s="92"/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2"/>
      <c r="FV75" s="92"/>
      <c r="FW75" s="93"/>
      <c r="FX75" s="76"/>
      <c r="FY75" s="76"/>
      <c r="FZ75" s="76"/>
      <c r="GA75" s="76"/>
    </row>
    <row r="76" ht="22.5" customHeight="1" outlineLevel="1">
      <c r="A76" s="76"/>
      <c r="B76" s="70">
        <v>2.0</v>
      </c>
      <c r="C76" s="193" t="s">
        <v>88</v>
      </c>
      <c r="D76" s="72"/>
      <c r="E76" s="72"/>
      <c r="F76" s="72"/>
      <c r="G76" s="72"/>
      <c r="H76" s="72"/>
      <c r="I76" s="72"/>
      <c r="J76" s="194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  <c r="BK76" s="168"/>
      <c r="BL76" s="168"/>
      <c r="BM76" s="168"/>
      <c r="BN76" s="168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9"/>
      <c r="CB76" s="195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77"/>
      <c r="CQ76" s="195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77"/>
      <c r="DF76" s="195"/>
      <c r="DG76" s="168"/>
      <c r="DH76" s="168"/>
      <c r="DI76" s="168"/>
      <c r="DJ76" s="168"/>
      <c r="DK76" s="168"/>
      <c r="DL76" s="168"/>
      <c r="DM76" s="168"/>
      <c r="DN76" s="168"/>
      <c r="DO76" s="168"/>
      <c r="DP76" s="168"/>
      <c r="DQ76" s="168"/>
      <c r="DR76" s="168"/>
      <c r="DS76" s="168"/>
      <c r="DT76" s="175"/>
      <c r="DU76" s="195"/>
      <c r="DV76" s="168"/>
      <c r="DW76" s="168"/>
      <c r="DX76" s="168"/>
      <c r="DY76" s="196"/>
      <c r="DZ76" s="93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3"/>
      <c r="FX76" s="76"/>
      <c r="FY76" s="76"/>
      <c r="FZ76" s="76"/>
      <c r="GA76" s="76"/>
    </row>
    <row r="77" outlineLevel="1">
      <c r="A77" s="76"/>
      <c r="B77" s="77" t="s">
        <v>89</v>
      </c>
      <c r="C77" s="78" t="s">
        <v>158</v>
      </c>
      <c r="D77" s="78" t="s">
        <v>159</v>
      </c>
      <c r="E77" s="172">
        <v>45868.0</v>
      </c>
      <c r="F77" s="197">
        <v>45881.0</v>
      </c>
      <c r="G77" s="80">
        <f t="shared" ref="G77:G80" si="20">DAYS360(E77,F77)</f>
        <v>12</v>
      </c>
      <c r="H77" s="80" t="s">
        <v>93</v>
      </c>
      <c r="I77" s="81">
        <v>1.0</v>
      </c>
      <c r="J77" s="138"/>
      <c r="K77" s="139"/>
      <c r="L77" s="140"/>
      <c r="M77" s="140"/>
      <c r="N77" s="105"/>
      <c r="O77" s="105"/>
      <c r="P77" s="105"/>
      <c r="Q77" s="105"/>
      <c r="R77" s="105"/>
      <c r="S77" s="105"/>
      <c r="T77" s="140"/>
      <c r="U77" s="140"/>
      <c r="V77" s="140"/>
      <c r="W77" s="140"/>
      <c r="X77" s="140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69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9"/>
      <c r="CO77" s="199"/>
      <c r="CP77" s="177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177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  <c r="DQ77" s="92"/>
      <c r="DR77" s="92"/>
      <c r="DS77" s="92"/>
      <c r="DT77" s="175"/>
      <c r="DU77" s="92"/>
      <c r="DV77" s="92"/>
      <c r="DW77" s="92"/>
      <c r="DX77" s="92"/>
      <c r="DY77" s="92"/>
      <c r="DZ77" s="93"/>
      <c r="EA77" s="92"/>
      <c r="EB77" s="92"/>
      <c r="EC77" s="92"/>
      <c r="ED77" s="92"/>
      <c r="EE77" s="92"/>
      <c r="EF77" s="92"/>
      <c r="EG77" s="92"/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2"/>
      <c r="ET77" s="92"/>
      <c r="EU77" s="92"/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2"/>
      <c r="FH77" s="92"/>
      <c r="FI77" s="92"/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2"/>
      <c r="FV77" s="92"/>
      <c r="FW77" s="93"/>
      <c r="FX77" s="76"/>
      <c r="FY77" s="76"/>
      <c r="FZ77" s="76"/>
      <c r="GA77" s="76"/>
    </row>
    <row r="78" outlineLevel="1">
      <c r="A78" s="76"/>
      <c r="B78" s="77" t="s">
        <v>92</v>
      </c>
      <c r="C78" s="78" t="s">
        <v>160</v>
      </c>
      <c r="D78" s="78" t="s">
        <v>97</v>
      </c>
      <c r="E78" s="172">
        <v>45868.0</v>
      </c>
      <c r="F78" s="197">
        <v>45881.0</v>
      </c>
      <c r="G78" s="80">
        <f t="shared" si="20"/>
        <v>12</v>
      </c>
      <c r="H78" s="80" t="s">
        <v>101</v>
      </c>
      <c r="I78" s="81">
        <v>1.0</v>
      </c>
      <c r="J78" s="138"/>
      <c r="K78" s="139"/>
      <c r="L78" s="140"/>
      <c r="M78" s="140"/>
      <c r="N78" s="105"/>
      <c r="O78" s="105"/>
      <c r="P78" s="105"/>
      <c r="Q78" s="105"/>
      <c r="R78" s="105"/>
      <c r="S78" s="105"/>
      <c r="T78" s="140"/>
      <c r="U78" s="140"/>
      <c r="V78" s="140"/>
      <c r="W78" s="140"/>
      <c r="X78" s="140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69"/>
      <c r="CB78" s="187"/>
      <c r="CC78" s="187"/>
      <c r="CD78" s="187"/>
      <c r="CE78" s="187"/>
      <c r="CF78" s="187"/>
      <c r="CG78" s="187"/>
      <c r="CH78" s="187"/>
      <c r="CI78" s="187"/>
      <c r="CJ78" s="187"/>
      <c r="CK78" s="187"/>
      <c r="CL78" s="187"/>
      <c r="CM78" s="187"/>
      <c r="CN78" s="174"/>
      <c r="CO78" s="174"/>
      <c r="CP78" s="177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177"/>
      <c r="DF78" s="92"/>
      <c r="DG78" s="92"/>
      <c r="DH78" s="92"/>
      <c r="DI78" s="92"/>
      <c r="DJ78" s="92"/>
      <c r="DK78" s="92"/>
      <c r="DL78" s="92"/>
      <c r="DM78" s="92"/>
      <c r="DN78" s="92"/>
      <c r="DO78" s="92"/>
      <c r="DP78" s="92"/>
      <c r="DQ78" s="92"/>
      <c r="DR78" s="92"/>
      <c r="DS78" s="92"/>
      <c r="DT78" s="175"/>
      <c r="DU78" s="92"/>
      <c r="DV78" s="92"/>
      <c r="DW78" s="92"/>
      <c r="DX78" s="92"/>
      <c r="DY78" s="92"/>
      <c r="DZ78" s="93"/>
      <c r="EA78" s="92"/>
      <c r="EB78" s="92"/>
      <c r="EC78" s="92"/>
      <c r="ED78" s="92"/>
      <c r="EE78" s="92"/>
      <c r="EF78" s="92"/>
      <c r="EG78" s="92"/>
      <c r="EH78" s="92"/>
      <c r="EI78" s="92"/>
      <c r="EJ78" s="92"/>
      <c r="EK78" s="92"/>
      <c r="EL78" s="92"/>
      <c r="EM78" s="92"/>
      <c r="EN78" s="92"/>
      <c r="EO78" s="92"/>
      <c r="EP78" s="92"/>
      <c r="EQ78" s="92"/>
      <c r="ER78" s="92"/>
      <c r="ES78" s="92"/>
      <c r="ET78" s="92"/>
      <c r="EU78" s="92"/>
      <c r="EV78" s="92"/>
      <c r="EW78" s="92"/>
      <c r="EX78" s="92"/>
      <c r="EY78" s="92"/>
      <c r="EZ78" s="92"/>
      <c r="FA78" s="92"/>
      <c r="FB78" s="92"/>
      <c r="FC78" s="92"/>
      <c r="FD78" s="92"/>
      <c r="FE78" s="92"/>
      <c r="FF78" s="92"/>
      <c r="FG78" s="92"/>
      <c r="FH78" s="92"/>
      <c r="FI78" s="92"/>
      <c r="FJ78" s="92"/>
      <c r="FK78" s="92"/>
      <c r="FL78" s="92"/>
      <c r="FM78" s="92"/>
      <c r="FN78" s="92"/>
      <c r="FO78" s="92"/>
      <c r="FP78" s="92"/>
      <c r="FQ78" s="92"/>
      <c r="FR78" s="92"/>
      <c r="FS78" s="92"/>
      <c r="FT78" s="92"/>
      <c r="FU78" s="92"/>
      <c r="FV78" s="92"/>
      <c r="FW78" s="93"/>
      <c r="FX78" s="76"/>
      <c r="FY78" s="76"/>
      <c r="FZ78" s="76"/>
      <c r="GA78" s="76"/>
    </row>
    <row r="79">
      <c r="A79" s="31"/>
      <c r="B79" s="77" t="s">
        <v>95</v>
      </c>
      <c r="C79" s="78" t="s">
        <v>83</v>
      </c>
      <c r="D79" s="78" t="s">
        <v>94</v>
      </c>
      <c r="E79" s="172">
        <v>45882.0</v>
      </c>
      <c r="F79" s="197">
        <v>45895.0</v>
      </c>
      <c r="G79" s="80">
        <f t="shared" si="20"/>
        <v>13</v>
      </c>
      <c r="H79" s="80" t="s">
        <v>137</v>
      </c>
      <c r="I79" s="81">
        <v>1.0</v>
      </c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169"/>
      <c r="CB79" s="74"/>
      <c r="CC79" s="74"/>
      <c r="CD79" s="74"/>
      <c r="CE79" s="74"/>
      <c r="CF79" s="74"/>
      <c r="CG79" s="74"/>
      <c r="CH79" s="74"/>
      <c r="CI79" s="74"/>
      <c r="CJ79" s="74"/>
      <c r="CK79" s="74"/>
      <c r="CL79" s="74"/>
      <c r="CM79" s="74"/>
      <c r="CN79" s="74"/>
      <c r="CO79" s="74"/>
      <c r="CP79" s="177"/>
      <c r="CQ79" s="200"/>
      <c r="CR79" s="200"/>
      <c r="CS79" s="200"/>
      <c r="CT79" s="200"/>
      <c r="CU79" s="200"/>
      <c r="CV79" s="200"/>
      <c r="CW79" s="200"/>
      <c r="CX79" s="200"/>
      <c r="CY79" s="200"/>
      <c r="CZ79" s="200"/>
      <c r="DA79" s="200"/>
      <c r="DB79" s="200"/>
      <c r="DC79" s="200"/>
      <c r="DD79" s="200"/>
      <c r="DE79" s="177"/>
      <c r="DF79" s="74"/>
      <c r="DG79" s="74"/>
      <c r="DH79" s="74"/>
      <c r="DI79" s="74"/>
      <c r="DJ79" s="74"/>
      <c r="DK79" s="74"/>
      <c r="DL79" s="74"/>
      <c r="DM79" s="74"/>
      <c r="DN79" s="74"/>
      <c r="DO79" s="74"/>
      <c r="DP79" s="74"/>
      <c r="DQ79" s="74"/>
      <c r="DR79" s="74"/>
      <c r="DS79" s="74"/>
      <c r="DT79" s="175"/>
      <c r="DU79" s="74"/>
      <c r="DV79" s="74"/>
      <c r="DW79" s="74"/>
      <c r="DX79" s="74"/>
      <c r="DY79" s="74"/>
      <c r="DZ79" s="75"/>
      <c r="EA79" s="92"/>
      <c r="EB79" s="92"/>
      <c r="EC79" s="92"/>
      <c r="ED79" s="92"/>
      <c r="EE79" s="92"/>
      <c r="EF79" s="92"/>
      <c r="EG79" s="92"/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2"/>
      <c r="ET79" s="92"/>
      <c r="EU79" s="92"/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2"/>
      <c r="FH79" s="92"/>
      <c r="FI79" s="92"/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2"/>
      <c r="FU79" s="92"/>
      <c r="FV79" s="92"/>
      <c r="FW79" s="75"/>
      <c r="FX79" s="31"/>
      <c r="FY79" s="31"/>
      <c r="FZ79" s="31"/>
      <c r="GA79" s="31"/>
    </row>
    <row r="80">
      <c r="A80" s="31"/>
      <c r="B80" s="77" t="s">
        <v>98</v>
      </c>
      <c r="C80" s="78" t="s">
        <v>161</v>
      </c>
      <c r="D80" s="78" t="s">
        <v>43</v>
      </c>
      <c r="E80" s="172">
        <v>45910.0</v>
      </c>
      <c r="F80" s="197">
        <v>45914.0</v>
      </c>
      <c r="G80" s="80">
        <f t="shared" si="20"/>
        <v>4</v>
      </c>
      <c r="H80" s="80"/>
      <c r="I80" s="81">
        <v>1.0</v>
      </c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  <c r="AT80" s="201"/>
      <c r="AU80" s="201"/>
      <c r="AV80" s="201"/>
      <c r="AW80" s="201"/>
      <c r="AX80" s="201"/>
      <c r="AY80" s="201"/>
      <c r="AZ80" s="201"/>
      <c r="BA80" s="201"/>
      <c r="BB80" s="201"/>
      <c r="BC80" s="201"/>
      <c r="BD80" s="201"/>
      <c r="BE80" s="201"/>
      <c r="BF80" s="201"/>
      <c r="BG80" s="201"/>
      <c r="BH80" s="201"/>
      <c r="BI80" s="201"/>
      <c r="BJ80" s="201"/>
      <c r="BK80" s="201"/>
      <c r="BL80" s="201"/>
      <c r="BM80" s="201"/>
      <c r="BN80" s="201"/>
      <c r="BO80" s="201"/>
      <c r="BP80" s="201"/>
      <c r="BQ80" s="201"/>
      <c r="BR80" s="201"/>
      <c r="BS80" s="201"/>
      <c r="BT80" s="201"/>
      <c r="BU80" s="201"/>
      <c r="BV80" s="201"/>
      <c r="BW80" s="201"/>
      <c r="BX80" s="201"/>
      <c r="BY80" s="201"/>
      <c r="BZ80" s="201"/>
      <c r="CA80" s="169"/>
      <c r="CB80" s="201"/>
      <c r="CC80" s="201"/>
      <c r="CD80" s="201"/>
      <c r="CE80" s="201"/>
      <c r="CF80" s="201"/>
      <c r="CG80" s="201"/>
      <c r="CH80" s="201"/>
      <c r="CI80" s="201"/>
      <c r="CJ80" s="201"/>
      <c r="CK80" s="201"/>
      <c r="CL80" s="201"/>
      <c r="CM80" s="201"/>
      <c r="CN80" s="201"/>
      <c r="CO80" s="201"/>
      <c r="CP80" s="177"/>
      <c r="CQ80" s="201"/>
      <c r="CR80" s="201"/>
      <c r="CS80" s="201"/>
      <c r="CT80" s="201"/>
      <c r="CU80" s="201"/>
      <c r="CV80" s="201"/>
      <c r="CW80" s="201"/>
      <c r="CX80" s="201"/>
      <c r="CY80" s="201"/>
      <c r="CZ80" s="201"/>
      <c r="DA80" s="201"/>
      <c r="DB80" s="201"/>
      <c r="DC80" s="201"/>
      <c r="DD80" s="201"/>
      <c r="DE80" s="177"/>
      <c r="DF80" s="201"/>
      <c r="DG80" s="201"/>
      <c r="DH80" s="201"/>
      <c r="DI80" s="201"/>
      <c r="DJ80" s="201"/>
      <c r="DK80" s="201"/>
      <c r="DL80" s="201"/>
      <c r="DM80" s="201"/>
      <c r="DN80" s="201"/>
      <c r="DO80" s="201"/>
      <c r="DP80" s="201"/>
      <c r="DQ80" s="201"/>
      <c r="DR80" s="201"/>
      <c r="DS80" s="201"/>
      <c r="DT80" s="175"/>
      <c r="DU80" s="202"/>
      <c r="DV80" s="202"/>
      <c r="DW80" s="202"/>
      <c r="DX80" s="202"/>
      <c r="DY80" s="202"/>
      <c r="DZ80" s="75"/>
      <c r="EA80" s="92"/>
      <c r="EB80" s="92"/>
      <c r="EC80" s="92"/>
      <c r="ED80" s="92"/>
      <c r="EE80" s="92"/>
      <c r="EF80" s="92"/>
      <c r="EG80" s="92"/>
      <c r="EH80" s="92"/>
      <c r="EI80" s="92"/>
      <c r="EJ80" s="92"/>
      <c r="EK80" s="92"/>
      <c r="EL80" s="92"/>
      <c r="EM80" s="92"/>
      <c r="EN80" s="92"/>
      <c r="EO80" s="92"/>
      <c r="EP80" s="92"/>
      <c r="EQ80" s="92"/>
      <c r="ER80" s="92"/>
      <c r="ES80" s="92"/>
      <c r="ET80" s="92"/>
      <c r="EU80" s="92"/>
      <c r="EV80" s="92"/>
      <c r="EW80" s="92"/>
      <c r="EX80" s="92"/>
      <c r="EY80" s="92"/>
      <c r="EZ80" s="92"/>
      <c r="FA80" s="92"/>
      <c r="FB80" s="92"/>
      <c r="FC80" s="92"/>
      <c r="FD80" s="92"/>
      <c r="FE80" s="92"/>
      <c r="FF80" s="92"/>
      <c r="FG80" s="92"/>
      <c r="FH80" s="92"/>
      <c r="FI80" s="92"/>
      <c r="FJ80" s="92"/>
      <c r="FK80" s="92"/>
      <c r="FL80" s="92"/>
      <c r="FM80" s="92"/>
      <c r="FN80" s="92"/>
      <c r="FO80" s="92"/>
      <c r="FP80" s="92"/>
      <c r="FQ80" s="92"/>
      <c r="FR80" s="92"/>
      <c r="FS80" s="92"/>
      <c r="FT80" s="92"/>
      <c r="FU80" s="92"/>
      <c r="FV80" s="92"/>
      <c r="FW80" s="75"/>
      <c r="FX80" s="31"/>
      <c r="FY80" s="31"/>
      <c r="FZ80" s="31"/>
      <c r="GA80" s="31"/>
    </row>
    <row r="81" ht="22.5" customHeight="1">
      <c r="A81" s="31"/>
      <c r="B81" s="70">
        <v>3.0</v>
      </c>
      <c r="C81" s="71" t="s">
        <v>102</v>
      </c>
      <c r="D81" s="72"/>
      <c r="E81" s="72"/>
      <c r="F81" s="72"/>
      <c r="G81" s="72"/>
      <c r="H81" s="72"/>
      <c r="I81" s="72"/>
      <c r="J81" s="194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68"/>
      <c r="BH81" s="168"/>
      <c r="BI81" s="168"/>
      <c r="BJ81" s="168"/>
      <c r="BK81" s="168"/>
      <c r="BL81" s="168"/>
      <c r="BM81" s="168"/>
      <c r="BN81" s="168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9"/>
      <c r="CB81" s="195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77"/>
      <c r="CQ81" s="195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77"/>
      <c r="DF81" s="195"/>
      <c r="DG81" s="168"/>
      <c r="DH81" s="168"/>
      <c r="DI81" s="168"/>
      <c r="DJ81" s="168"/>
      <c r="DK81" s="168"/>
      <c r="DL81" s="168"/>
      <c r="DM81" s="168"/>
      <c r="DN81" s="168"/>
      <c r="DO81" s="168"/>
      <c r="DP81" s="168"/>
      <c r="DQ81" s="168"/>
      <c r="DR81" s="168"/>
      <c r="DS81" s="168"/>
      <c r="DT81" s="175"/>
      <c r="DU81" s="195"/>
      <c r="DV81" s="168"/>
      <c r="DW81" s="168"/>
      <c r="DX81" s="168"/>
      <c r="DY81" s="196"/>
      <c r="DZ81" s="75"/>
      <c r="EA81" s="92"/>
      <c r="EB81" s="92"/>
      <c r="EC81" s="92"/>
      <c r="ED81" s="92"/>
      <c r="EE81" s="92"/>
      <c r="EF81" s="92"/>
      <c r="EG81" s="92"/>
      <c r="EH81" s="92"/>
      <c r="EI81" s="92"/>
      <c r="EJ81" s="92"/>
      <c r="EK81" s="92"/>
      <c r="EL81" s="92"/>
      <c r="EM81" s="92"/>
      <c r="EN81" s="92"/>
      <c r="EO81" s="92"/>
      <c r="EP81" s="92"/>
      <c r="EQ81" s="92"/>
      <c r="ER81" s="92"/>
      <c r="ES81" s="92"/>
      <c r="ET81" s="92"/>
      <c r="EU81" s="92"/>
      <c r="EV81" s="92"/>
      <c r="EW81" s="92"/>
      <c r="EX81" s="92"/>
      <c r="EY81" s="92"/>
      <c r="EZ81" s="92"/>
      <c r="FA81" s="92"/>
      <c r="FB81" s="92"/>
      <c r="FC81" s="92"/>
      <c r="FD81" s="92"/>
      <c r="FE81" s="92"/>
      <c r="FF81" s="92"/>
      <c r="FG81" s="92"/>
      <c r="FH81" s="92"/>
      <c r="FI81" s="92"/>
      <c r="FJ81" s="92"/>
      <c r="FK81" s="92"/>
      <c r="FL81" s="92"/>
      <c r="FM81" s="92"/>
      <c r="FN81" s="92"/>
      <c r="FO81" s="92"/>
      <c r="FP81" s="92"/>
      <c r="FQ81" s="92"/>
      <c r="FR81" s="92"/>
      <c r="FS81" s="92"/>
      <c r="FT81" s="92"/>
      <c r="FU81" s="92"/>
      <c r="FV81" s="92"/>
      <c r="FW81" s="75"/>
      <c r="FX81" s="31"/>
      <c r="FY81" s="31"/>
      <c r="FZ81" s="31"/>
      <c r="GA81" s="31"/>
    </row>
    <row r="82">
      <c r="A82" s="31"/>
      <c r="B82" s="77" t="s">
        <v>103</v>
      </c>
      <c r="C82" s="78" t="s">
        <v>162</v>
      </c>
      <c r="D82" s="78" t="s">
        <v>46</v>
      </c>
      <c r="E82" s="172">
        <v>45868.0</v>
      </c>
      <c r="F82" s="172">
        <v>45881.0</v>
      </c>
      <c r="G82" s="80">
        <f t="shared" ref="G82:G90" si="21">DAYS360(E82,F82)</f>
        <v>12</v>
      </c>
      <c r="H82" s="80"/>
      <c r="I82" s="81">
        <v>1.0</v>
      </c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169"/>
      <c r="CB82" s="200"/>
      <c r="CC82" s="200"/>
      <c r="CD82" s="200"/>
      <c r="CE82" s="200"/>
      <c r="CF82" s="200"/>
      <c r="CG82" s="200"/>
      <c r="CH82" s="200"/>
      <c r="CI82" s="200"/>
      <c r="CJ82" s="200"/>
      <c r="CK82" s="200"/>
      <c r="CL82" s="200"/>
      <c r="CM82" s="200"/>
      <c r="CN82" s="200"/>
      <c r="CO82" s="200"/>
      <c r="CP82" s="177"/>
      <c r="CQ82" s="74"/>
      <c r="CR82" s="74"/>
      <c r="CS82" s="74"/>
      <c r="CT82" s="74"/>
      <c r="CU82" s="74"/>
      <c r="CV82" s="74"/>
      <c r="CW82" s="74"/>
      <c r="CX82" s="74"/>
      <c r="CY82" s="74"/>
      <c r="CZ82" s="74"/>
      <c r="DA82" s="74"/>
      <c r="DB82" s="74"/>
      <c r="DC82" s="74"/>
      <c r="DD82" s="74"/>
      <c r="DE82" s="177"/>
      <c r="DF82" s="74"/>
      <c r="DG82" s="74"/>
      <c r="DH82" s="74"/>
      <c r="DI82" s="74"/>
      <c r="DJ82" s="74"/>
      <c r="DK82" s="74"/>
      <c r="DL82" s="74"/>
      <c r="DM82" s="74"/>
      <c r="DN82" s="74"/>
      <c r="DO82" s="74"/>
      <c r="DP82" s="74"/>
      <c r="DQ82" s="74"/>
      <c r="DR82" s="74"/>
      <c r="DS82" s="74"/>
      <c r="DT82" s="175"/>
      <c r="DU82" s="74"/>
      <c r="DV82" s="74"/>
      <c r="DW82" s="74"/>
      <c r="DX82" s="74"/>
      <c r="DY82" s="74"/>
      <c r="DZ82" s="75"/>
      <c r="EA82" s="92"/>
      <c r="EB82" s="92"/>
      <c r="EC82" s="92"/>
      <c r="ED82" s="92"/>
      <c r="EE82" s="92"/>
      <c r="EF82" s="92"/>
      <c r="EG82" s="92"/>
      <c r="EH82" s="92"/>
      <c r="EI82" s="92"/>
      <c r="EJ82" s="92"/>
      <c r="EK82" s="92"/>
      <c r="EL82" s="92"/>
      <c r="EM82" s="92"/>
      <c r="EN82" s="92"/>
      <c r="EO82" s="92"/>
      <c r="EP82" s="92"/>
      <c r="EQ82" s="92"/>
      <c r="ER82" s="92"/>
      <c r="ES82" s="92"/>
      <c r="ET82" s="92"/>
      <c r="EU82" s="92"/>
      <c r="EV82" s="92"/>
      <c r="EW82" s="92"/>
      <c r="EX82" s="92"/>
      <c r="EY82" s="92"/>
      <c r="EZ82" s="92"/>
      <c r="FA82" s="92"/>
      <c r="FB82" s="92"/>
      <c r="FC82" s="92"/>
      <c r="FD82" s="92"/>
      <c r="FE82" s="92"/>
      <c r="FF82" s="92"/>
      <c r="FG82" s="92"/>
      <c r="FH82" s="92"/>
      <c r="FI82" s="92"/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2"/>
      <c r="FV82" s="92"/>
      <c r="FW82" s="75"/>
      <c r="FX82" s="31"/>
      <c r="FY82" s="31"/>
      <c r="FZ82" s="31"/>
      <c r="GA82" s="31"/>
    </row>
    <row r="83">
      <c r="A83" s="31"/>
      <c r="B83" s="77" t="s">
        <v>105</v>
      </c>
      <c r="C83" s="78" t="s">
        <v>163</v>
      </c>
      <c r="D83" s="78" t="s">
        <v>46</v>
      </c>
      <c r="E83" s="172">
        <v>45882.0</v>
      </c>
      <c r="F83" s="172">
        <v>45895.0</v>
      </c>
      <c r="G83" s="80">
        <f t="shared" si="21"/>
        <v>13</v>
      </c>
      <c r="H83" s="80"/>
      <c r="I83" s="81">
        <v>1.0</v>
      </c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169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177"/>
      <c r="CQ83" s="200"/>
      <c r="CR83" s="200"/>
      <c r="CS83" s="200"/>
      <c r="CT83" s="200"/>
      <c r="CU83" s="200"/>
      <c r="CV83" s="200"/>
      <c r="CW83" s="200"/>
      <c r="CX83" s="200"/>
      <c r="CY83" s="200"/>
      <c r="CZ83" s="200"/>
      <c r="DA83" s="200"/>
      <c r="DB83" s="200"/>
      <c r="DC83" s="200"/>
      <c r="DD83" s="200"/>
      <c r="DE83" s="177"/>
      <c r="DF83" s="74"/>
      <c r="DG83" s="74"/>
      <c r="DH83" s="74"/>
      <c r="DI83" s="74"/>
      <c r="DJ83" s="74"/>
      <c r="DK83" s="74"/>
      <c r="DL83" s="74"/>
      <c r="DM83" s="74"/>
      <c r="DN83" s="74"/>
      <c r="DO83" s="74"/>
      <c r="DP83" s="74"/>
      <c r="DQ83" s="74"/>
      <c r="DR83" s="74"/>
      <c r="DS83" s="74"/>
      <c r="DT83" s="175"/>
      <c r="DU83" s="74"/>
      <c r="DV83" s="74"/>
      <c r="DW83" s="74"/>
      <c r="DX83" s="74"/>
      <c r="DY83" s="74"/>
      <c r="DZ83" s="75"/>
      <c r="EA83" s="92"/>
      <c r="EB83" s="92"/>
      <c r="EC83" s="92"/>
      <c r="ED83" s="92"/>
      <c r="EE83" s="92"/>
      <c r="EF83" s="92"/>
      <c r="EG83" s="92"/>
      <c r="EH83" s="92"/>
      <c r="EI83" s="92"/>
      <c r="EJ83" s="92"/>
      <c r="EK83" s="92"/>
      <c r="EL83" s="92"/>
      <c r="EM83" s="92"/>
      <c r="EN83" s="92"/>
      <c r="EO83" s="92"/>
      <c r="EP83" s="92"/>
      <c r="EQ83" s="92"/>
      <c r="ER83" s="92"/>
      <c r="ES83" s="92"/>
      <c r="ET83" s="92"/>
      <c r="EU83" s="92"/>
      <c r="EV83" s="92"/>
      <c r="EW83" s="92"/>
      <c r="EX83" s="92"/>
      <c r="EY83" s="92"/>
      <c r="EZ83" s="92"/>
      <c r="FA83" s="92"/>
      <c r="FB83" s="92"/>
      <c r="FC83" s="92"/>
      <c r="FD83" s="92"/>
      <c r="FE83" s="92"/>
      <c r="FF83" s="92"/>
      <c r="FG83" s="92"/>
      <c r="FH83" s="92"/>
      <c r="FI83" s="92"/>
      <c r="FJ83" s="92"/>
      <c r="FK83" s="92"/>
      <c r="FL83" s="92"/>
      <c r="FM83" s="92"/>
      <c r="FN83" s="92"/>
      <c r="FO83" s="92"/>
      <c r="FP83" s="92"/>
      <c r="FQ83" s="92"/>
      <c r="FR83" s="92"/>
      <c r="FS83" s="92"/>
      <c r="FT83" s="92"/>
      <c r="FU83" s="92"/>
      <c r="FV83" s="92"/>
      <c r="FW83" s="75"/>
      <c r="FX83" s="31"/>
      <c r="FY83" s="31"/>
      <c r="FZ83" s="31"/>
      <c r="GA83" s="31"/>
    </row>
    <row r="84">
      <c r="A84" s="31"/>
      <c r="B84" s="77" t="s">
        <v>107</v>
      </c>
      <c r="C84" s="78" t="s">
        <v>164</v>
      </c>
      <c r="D84" s="78" t="s">
        <v>46</v>
      </c>
      <c r="E84" s="172">
        <v>45882.0</v>
      </c>
      <c r="F84" s="172">
        <v>45895.0</v>
      </c>
      <c r="G84" s="80">
        <f t="shared" si="21"/>
        <v>13</v>
      </c>
      <c r="H84" s="80" t="s">
        <v>163</v>
      </c>
      <c r="I84" s="81">
        <v>1.0</v>
      </c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169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177"/>
      <c r="CQ84" s="200"/>
      <c r="CR84" s="200"/>
      <c r="CS84" s="200"/>
      <c r="CT84" s="200"/>
      <c r="CU84" s="200"/>
      <c r="CV84" s="200"/>
      <c r="CW84" s="200"/>
      <c r="CX84" s="200"/>
      <c r="CY84" s="200"/>
      <c r="CZ84" s="200"/>
      <c r="DA84" s="200"/>
      <c r="DB84" s="200"/>
      <c r="DC84" s="200"/>
      <c r="DD84" s="200"/>
      <c r="DE84" s="177"/>
      <c r="DF84" s="74"/>
      <c r="DG84" s="74"/>
      <c r="DH84" s="74"/>
      <c r="DI84" s="74"/>
      <c r="DJ84" s="74"/>
      <c r="DK84" s="74"/>
      <c r="DL84" s="74"/>
      <c r="DM84" s="74"/>
      <c r="DN84" s="74"/>
      <c r="DO84" s="74"/>
      <c r="DP84" s="74"/>
      <c r="DQ84" s="74"/>
      <c r="DR84" s="74"/>
      <c r="DS84" s="74"/>
      <c r="DT84" s="175"/>
      <c r="DU84" s="74"/>
      <c r="DV84" s="74"/>
      <c r="DW84" s="74"/>
      <c r="DX84" s="74"/>
      <c r="DY84" s="74"/>
      <c r="DZ84" s="75"/>
      <c r="EA84" s="92"/>
      <c r="EB84" s="92"/>
      <c r="EC84" s="92"/>
      <c r="ED84" s="92"/>
      <c r="EE84" s="92"/>
      <c r="EF84" s="92"/>
      <c r="EG84" s="92"/>
      <c r="EH84" s="92"/>
      <c r="EI84" s="92"/>
      <c r="EJ84" s="92"/>
      <c r="EK84" s="92"/>
      <c r="EL84" s="92"/>
      <c r="EM84" s="92"/>
      <c r="EN84" s="92"/>
      <c r="EO84" s="92"/>
      <c r="EP84" s="92"/>
      <c r="EQ84" s="92"/>
      <c r="ER84" s="92"/>
      <c r="ES84" s="92"/>
      <c r="ET84" s="92"/>
      <c r="EU84" s="92"/>
      <c r="EV84" s="92"/>
      <c r="EW84" s="92"/>
      <c r="EX84" s="92"/>
      <c r="EY84" s="92"/>
      <c r="EZ84" s="92"/>
      <c r="FA84" s="92"/>
      <c r="FB84" s="92"/>
      <c r="FC84" s="92"/>
      <c r="FD84" s="92"/>
      <c r="FE84" s="92"/>
      <c r="FF84" s="92"/>
      <c r="FG84" s="92"/>
      <c r="FH84" s="92"/>
      <c r="FI84" s="92"/>
      <c r="FJ84" s="92"/>
      <c r="FK84" s="92"/>
      <c r="FL84" s="92"/>
      <c r="FM84" s="92"/>
      <c r="FN84" s="92"/>
      <c r="FO84" s="92"/>
      <c r="FP84" s="92"/>
      <c r="FQ84" s="92"/>
      <c r="FR84" s="92"/>
      <c r="FS84" s="92"/>
      <c r="FT84" s="92"/>
      <c r="FU84" s="92"/>
      <c r="FV84" s="92"/>
      <c r="FW84" s="75"/>
      <c r="FX84" s="31"/>
      <c r="FY84" s="31"/>
      <c r="FZ84" s="31"/>
      <c r="GA84" s="31"/>
    </row>
    <row r="85">
      <c r="A85" s="31"/>
      <c r="B85" s="77" t="s">
        <v>109</v>
      </c>
      <c r="C85" s="78" t="s">
        <v>165</v>
      </c>
      <c r="D85" s="78" t="s">
        <v>46</v>
      </c>
      <c r="E85" s="172">
        <v>45882.0</v>
      </c>
      <c r="F85" s="172">
        <v>45895.0</v>
      </c>
      <c r="G85" s="80">
        <f t="shared" si="21"/>
        <v>13</v>
      </c>
      <c r="H85" s="80" t="s">
        <v>164</v>
      </c>
      <c r="I85" s="81">
        <v>1.0</v>
      </c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169"/>
      <c r="CB85" s="74"/>
      <c r="CC85" s="74"/>
      <c r="CD85" s="7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177"/>
      <c r="CQ85" s="200"/>
      <c r="CR85" s="200"/>
      <c r="CS85" s="200"/>
      <c r="CT85" s="200"/>
      <c r="CU85" s="200"/>
      <c r="CV85" s="200"/>
      <c r="CW85" s="200"/>
      <c r="CX85" s="200"/>
      <c r="CY85" s="200"/>
      <c r="CZ85" s="200"/>
      <c r="DA85" s="200"/>
      <c r="DB85" s="200"/>
      <c r="DC85" s="200"/>
      <c r="DD85" s="200"/>
      <c r="DE85" s="177"/>
      <c r="DF85" s="74"/>
      <c r="DG85" s="74"/>
      <c r="DH85" s="74"/>
      <c r="DI85" s="74"/>
      <c r="DJ85" s="74"/>
      <c r="DK85" s="74"/>
      <c r="DL85" s="74"/>
      <c r="DM85" s="74"/>
      <c r="DN85" s="74"/>
      <c r="DO85" s="74"/>
      <c r="DP85" s="74"/>
      <c r="DQ85" s="74"/>
      <c r="DR85" s="74"/>
      <c r="DS85" s="74"/>
      <c r="DT85" s="175"/>
      <c r="DU85" s="74"/>
      <c r="DV85" s="74"/>
      <c r="DW85" s="74"/>
      <c r="DX85" s="74"/>
      <c r="DY85" s="74"/>
      <c r="DZ85" s="75"/>
      <c r="EA85" s="92"/>
      <c r="EB85" s="92"/>
      <c r="EC85" s="92"/>
      <c r="ED85" s="92"/>
      <c r="EE85" s="92"/>
      <c r="EF85" s="92"/>
      <c r="EG85" s="92"/>
      <c r="EH85" s="92"/>
      <c r="EI85" s="92"/>
      <c r="EJ85" s="92"/>
      <c r="EK85" s="92"/>
      <c r="EL85" s="92"/>
      <c r="EM85" s="92"/>
      <c r="EN85" s="92"/>
      <c r="EO85" s="92"/>
      <c r="EP85" s="92"/>
      <c r="EQ85" s="92"/>
      <c r="ER85" s="92"/>
      <c r="ES85" s="92"/>
      <c r="ET85" s="92"/>
      <c r="EU85" s="92"/>
      <c r="EV85" s="92"/>
      <c r="EW85" s="92"/>
      <c r="EX85" s="92"/>
      <c r="EY85" s="92"/>
      <c r="EZ85" s="92"/>
      <c r="FA85" s="92"/>
      <c r="FB85" s="92"/>
      <c r="FC85" s="92"/>
      <c r="FD85" s="92"/>
      <c r="FE85" s="92"/>
      <c r="FF85" s="92"/>
      <c r="FG85" s="92"/>
      <c r="FH85" s="92"/>
      <c r="FI85" s="92"/>
      <c r="FJ85" s="92"/>
      <c r="FK85" s="92"/>
      <c r="FL85" s="92"/>
      <c r="FM85" s="92"/>
      <c r="FN85" s="92"/>
      <c r="FO85" s="92"/>
      <c r="FP85" s="92"/>
      <c r="FQ85" s="92"/>
      <c r="FR85" s="92"/>
      <c r="FS85" s="92"/>
      <c r="FT85" s="92"/>
      <c r="FU85" s="92"/>
      <c r="FV85" s="92"/>
      <c r="FW85" s="75"/>
      <c r="FX85" s="31"/>
      <c r="FY85" s="31"/>
      <c r="FZ85" s="31"/>
      <c r="GA85" s="31"/>
    </row>
    <row r="86">
      <c r="A86" s="31"/>
      <c r="B86" s="77" t="s">
        <v>111</v>
      </c>
      <c r="C86" s="78" t="s">
        <v>166</v>
      </c>
      <c r="D86" s="78" t="s">
        <v>46</v>
      </c>
      <c r="E86" s="172">
        <v>45910.0</v>
      </c>
      <c r="F86" s="172">
        <v>45914.0</v>
      </c>
      <c r="G86" s="80">
        <f t="shared" si="21"/>
        <v>4</v>
      </c>
      <c r="H86" s="80"/>
      <c r="I86" s="81">
        <v>1.0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4"/>
      <c r="BY86" s="74"/>
      <c r="BZ86" s="74"/>
      <c r="CA86" s="169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/>
      <c r="CP86" s="177"/>
      <c r="CQ86" s="74"/>
      <c r="CR86" s="74"/>
      <c r="CS86" s="74"/>
      <c r="CT86" s="74"/>
      <c r="CU86" s="74"/>
      <c r="CV86" s="74"/>
      <c r="CW86" s="74"/>
      <c r="CX86" s="74"/>
      <c r="CY86" s="74"/>
      <c r="CZ86" s="74"/>
      <c r="DA86" s="74"/>
      <c r="DB86" s="74"/>
      <c r="DC86" s="74"/>
      <c r="DD86" s="74"/>
      <c r="DE86" s="177"/>
      <c r="DF86" s="74"/>
      <c r="DG86" s="74"/>
      <c r="DH86" s="74"/>
      <c r="DI86" s="74"/>
      <c r="DJ86" s="74"/>
      <c r="DK86" s="74"/>
      <c r="DL86" s="74"/>
      <c r="DM86" s="74"/>
      <c r="DN86" s="74"/>
      <c r="DO86" s="74"/>
      <c r="DP86" s="74"/>
      <c r="DQ86" s="74"/>
      <c r="DR86" s="74"/>
      <c r="DS86" s="74"/>
      <c r="DT86" s="175"/>
      <c r="DU86" s="200"/>
      <c r="DV86" s="200"/>
      <c r="DW86" s="200"/>
      <c r="DX86" s="200"/>
      <c r="DY86" s="200"/>
      <c r="DZ86" s="75"/>
      <c r="EA86" s="92"/>
      <c r="EB86" s="92"/>
      <c r="EC86" s="92"/>
      <c r="ED86" s="92"/>
      <c r="EE86" s="92"/>
      <c r="EF86" s="92"/>
      <c r="EG86" s="92"/>
      <c r="EH86" s="92"/>
      <c r="EI86" s="92"/>
      <c r="EJ86" s="92"/>
      <c r="EK86" s="92"/>
      <c r="EL86" s="92"/>
      <c r="EM86" s="92"/>
      <c r="EN86" s="92"/>
      <c r="EO86" s="92"/>
      <c r="EP86" s="92"/>
      <c r="EQ86" s="92"/>
      <c r="ER86" s="92"/>
      <c r="ES86" s="92"/>
      <c r="ET86" s="92"/>
      <c r="EU86" s="92"/>
      <c r="EV86" s="92"/>
      <c r="EW86" s="92"/>
      <c r="EX86" s="92"/>
      <c r="EY86" s="92"/>
      <c r="EZ86" s="92"/>
      <c r="FA86" s="92"/>
      <c r="FB86" s="92"/>
      <c r="FC86" s="92"/>
      <c r="FD86" s="92"/>
      <c r="FE86" s="92"/>
      <c r="FF86" s="92"/>
      <c r="FG86" s="92"/>
      <c r="FH86" s="92"/>
      <c r="FI86" s="92"/>
      <c r="FJ86" s="92"/>
      <c r="FK86" s="92"/>
      <c r="FL86" s="92"/>
      <c r="FM86" s="92"/>
      <c r="FN86" s="92"/>
      <c r="FO86" s="92"/>
      <c r="FP86" s="92"/>
      <c r="FQ86" s="92"/>
      <c r="FR86" s="92"/>
      <c r="FS86" s="92"/>
      <c r="FT86" s="92"/>
      <c r="FU86" s="92"/>
      <c r="FV86" s="92"/>
      <c r="FW86" s="75"/>
      <c r="FX86" s="31"/>
      <c r="FY86" s="31"/>
      <c r="FZ86" s="31"/>
      <c r="GA86" s="31"/>
    </row>
    <row r="87">
      <c r="A87" s="31"/>
      <c r="B87" s="77" t="s">
        <v>113</v>
      </c>
      <c r="C87" s="78" t="s">
        <v>167</v>
      </c>
      <c r="D87" s="78" t="s">
        <v>46</v>
      </c>
      <c r="E87" s="172">
        <v>45910.0</v>
      </c>
      <c r="F87" s="172">
        <v>45914.0</v>
      </c>
      <c r="G87" s="80">
        <f t="shared" si="21"/>
        <v>4</v>
      </c>
      <c r="H87" s="80"/>
      <c r="I87" s="81">
        <v>1.0</v>
      </c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169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177"/>
      <c r="CQ87" s="74"/>
      <c r="CR87" s="74"/>
      <c r="CS87" s="74"/>
      <c r="CT87" s="74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177"/>
      <c r="DF87" s="74"/>
      <c r="DG87" s="74"/>
      <c r="DH87" s="74"/>
      <c r="DI87" s="74"/>
      <c r="DJ87" s="74"/>
      <c r="DK87" s="74"/>
      <c r="DL87" s="74"/>
      <c r="DM87" s="74"/>
      <c r="DN87" s="74"/>
      <c r="DO87" s="74"/>
      <c r="DP87" s="74"/>
      <c r="DQ87" s="74"/>
      <c r="DR87" s="74"/>
      <c r="DS87" s="74"/>
      <c r="DT87" s="175"/>
      <c r="DU87" s="200"/>
      <c r="DV87" s="200"/>
      <c r="DW87" s="200"/>
      <c r="DX87" s="200"/>
      <c r="DY87" s="200"/>
      <c r="DZ87" s="75"/>
      <c r="EA87" s="92"/>
      <c r="EB87" s="92"/>
      <c r="EC87" s="92"/>
      <c r="ED87" s="92"/>
      <c r="EE87" s="92"/>
      <c r="EF87" s="92"/>
      <c r="EG87" s="92"/>
      <c r="EH87" s="92"/>
      <c r="EI87" s="92"/>
      <c r="EJ87" s="92"/>
      <c r="EK87" s="92"/>
      <c r="EL87" s="92"/>
      <c r="EM87" s="92"/>
      <c r="EN87" s="92"/>
      <c r="EO87" s="92"/>
      <c r="EP87" s="92"/>
      <c r="EQ87" s="92"/>
      <c r="ER87" s="92"/>
      <c r="ES87" s="92"/>
      <c r="ET87" s="92"/>
      <c r="EU87" s="92"/>
      <c r="EV87" s="92"/>
      <c r="EW87" s="92"/>
      <c r="EX87" s="92"/>
      <c r="EY87" s="92"/>
      <c r="EZ87" s="92"/>
      <c r="FA87" s="92"/>
      <c r="FB87" s="92"/>
      <c r="FC87" s="92"/>
      <c r="FD87" s="92"/>
      <c r="FE87" s="92"/>
      <c r="FF87" s="92"/>
      <c r="FG87" s="92"/>
      <c r="FH87" s="92"/>
      <c r="FI87" s="92"/>
      <c r="FJ87" s="92"/>
      <c r="FK87" s="92"/>
      <c r="FL87" s="92"/>
      <c r="FM87" s="92"/>
      <c r="FN87" s="92"/>
      <c r="FO87" s="92"/>
      <c r="FP87" s="92"/>
      <c r="FQ87" s="92"/>
      <c r="FR87" s="92"/>
      <c r="FS87" s="92"/>
      <c r="FT87" s="92"/>
      <c r="FU87" s="92"/>
      <c r="FV87" s="92"/>
      <c r="FW87" s="75"/>
      <c r="FX87" s="31"/>
      <c r="FY87" s="31"/>
      <c r="FZ87" s="31"/>
      <c r="GA87" s="31"/>
    </row>
    <row r="88">
      <c r="A88" s="31"/>
      <c r="B88" s="77" t="s">
        <v>168</v>
      </c>
      <c r="C88" s="78" t="s">
        <v>169</v>
      </c>
      <c r="D88" s="78" t="s">
        <v>46</v>
      </c>
      <c r="E88" s="172">
        <v>45910.0</v>
      </c>
      <c r="F88" s="172">
        <v>45914.0</v>
      </c>
      <c r="G88" s="80">
        <f t="shared" si="21"/>
        <v>4</v>
      </c>
      <c r="H88" s="80"/>
      <c r="I88" s="81">
        <v>1.0</v>
      </c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  <c r="AT88" s="201"/>
      <c r="AU88" s="201"/>
      <c r="AV88" s="201"/>
      <c r="AW88" s="201"/>
      <c r="AX88" s="201"/>
      <c r="AY88" s="201"/>
      <c r="AZ88" s="201"/>
      <c r="BA88" s="201"/>
      <c r="BB88" s="201"/>
      <c r="BC88" s="201"/>
      <c r="BD88" s="201"/>
      <c r="BE88" s="201"/>
      <c r="BF88" s="201"/>
      <c r="BG88" s="201"/>
      <c r="BH88" s="201"/>
      <c r="BI88" s="201"/>
      <c r="BJ88" s="201"/>
      <c r="BK88" s="201"/>
      <c r="BL88" s="201"/>
      <c r="BM88" s="201"/>
      <c r="BN88" s="201"/>
      <c r="BO88" s="201"/>
      <c r="BP88" s="201"/>
      <c r="BQ88" s="201"/>
      <c r="BR88" s="201"/>
      <c r="BS88" s="201"/>
      <c r="BT88" s="201"/>
      <c r="BU88" s="201"/>
      <c r="BV88" s="201"/>
      <c r="BW88" s="201"/>
      <c r="BX88" s="201"/>
      <c r="BY88" s="201"/>
      <c r="BZ88" s="201"/>
      <c r="CA88" s="169"/>
      <c r="CB88" s="201"/>
      <c r="CC88" s="201"/>
      <c r="CD88" s="201"/>
      <c r="CE88" s="201"/>
      <c r="CF88" s="201"/>
      <c r="CG88" s="201"/>
      <c r="CH88" s="201"/>
      <c r="CI88" s="201"/>
      <c r="CJ88" s="201"/>
      <c r="CK88" s="201"/>
      <c r="CL88" s="201"/>
      <c r="CM88" s="201"/>
      <c r="CN88" s="201"/>
      <c r="CO88" s="201"/>
      <c r="CP88" s="177"/>
      <c r="CQ88" s="201"/>
      <c r="CR88" s="201"/>
      <c r="CS88" s="201"/>
      <c r="CT88" s="201"/>
      <c r="CU88" s="201"/>
      <c r="CV88" s="201"/>
      <c r="CW88" s="201"/>
      <c r="CX88" s="201"/>
      <c r="CY88" s="201"/>
      <c r="CZ88" s="201"/>
      <c r="DA88" s="201"/>
      <c r="DB88" s="201"/>
      <c r="DC88" s="201"/>
      <c r="DD88" s="201"/>
      <c r="DE88" s="177"/>
      <c r="DF88" s="201"/>
      <c r="DG88" s="201"/>
      <c r="DH88" s="201"/>
      <c r="DI88" s="201"/>
      <c r="DJ88" s="201"/>
      <c r="DK88" s="201"/>
      <c r="DL88" s="201"/>
      <c r="DM88" s="201"/>
      <c r="DN88" s="201"/>
      <c r="DO88" s="201"/>
      <c r="DP88" s="201"/>
      <c r="DQ88" s="201"/>
      <c r="DR88" s="201"/>
      <c r="DS88" s="201"/>
      <c r="DT88" s="175"/>
      <c r="DU88" s="203"/>
      <c r="DV88" s="203"/>
      <c r="DW88" s="203"/>
      <c r="DX88" s="203"/>
      <c r="DY88" s="203"/>
      <c r="DZ88" s="75"/>
      <c r="EA88" s="92"/>
      <c r="EB88" s="92"/>
      <c r="EC88" s="92"/>
      <c r="ED88" s="92"/>
      <c r="EE88" s="92"/>
      <c r="EF88" s="92"/>
      <c r="EG88" s="92"/>
      <c r="EH88" s="92"/>
      <c r="EI88" s="92"/>
      <c r="EJ88" s="92"/>
      <c r="EK88" s="92"/>
      <c r="EL88" s="92"/>
      <c r="EM88" s="92"/>
      <c r="EN88" s="92"/>
      <c r="EO88" s="92"/>
      <c r="EP88" s="92"/>
      <c r="EQ88" s="92"/>
      <c r="ER88" s="92"/>
      <c r="ES88" s="92"/>
      <c r="ET88" s="92"/>
      <c r="EU88" s="92"/>
      <c r="EV88" s="92"/>
      <c r="EW88" s="92"/>
      <c r="EX88" s="92"/>
      <c r="EY88" s="92"/>
      <c r="EZ88" s="92"/>
      <c r="FA88" s="92"/>
      <c r="FB88" s="92"/>
      <c r="FC88" s="92"/>
      <c r="FD88" s="92"/>
      <c r="FE88" s="92"/>
      <c r="FF88" s="92"/>
      <c r="FG88" s="92"/>
      <c r="FH88" s="92"/>
      <c r="FI88" s="92"/>
      <c r="FJ88" s="92"/>
      <c r="FK88" s="92"/>
      <c r="FL88" s="92"/>
      <c r="FM88" s="92"/>
      <c r="FN88" s="92"/>
      <c r="FO88" s="92"/>
      <c r="FP88" s="92"/>
      <c r="FQ88" s="92"/>
      <c r="FR88" s="92"/>
      <c r="FS88" s="92"/>
      <c r="FT88" s="92"/>
      <c r="FU88" s="92"/>
      <c r="FV88" s="92"/>
      <c r="FW88" s="75"/>
      <c r="FX88" s="31"/>
      <c r="FY88" s="31"/>
      <c r="FZ88" s="31"/>
      <c r="GA88" s="31"/>
    </row>
    <row r="89">
      <c r="A89" s="31"/>
      <c r="B89" s="77" t="s">
        <v>170</v>
      </c>
      <c r="C89" s="204" t="s">
        <v>171</v>
      </c>
      <c r="D89" s="78" t="s">
        <v>46</v>
      </c>
      <c r="E89" s="172">
        <v>45910.0</v>
      </c>
      <c r="F89" s="172">
        <v>45914.0</v>
      </c>
      <c r="G89" s="80">
        <f t="shared" si="21"/>
        <v>4</v>
      </c>
      <c r="H89" s="80"/>
      <c r="I89" s="81">
        <v>1.0</v>
      </c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  <c r="BC89" s="201"/>
      <c r="BD89" s="201"/>
      <c r="BE89" s="201"/>
      <c r="BF89" s="201"/>
      <c r="BG89" s="201"/>
      <c r="BH89" s="201"/>
      <c r="BI89" s="201"/>
      <c r="BJ89" s="201"/>
      <c r="BK89" s="201"/>
      <c r="BL89" s="201"/>
      <c r="BM89" s="201"/>
      <c r="BN89" s="201"/>
      <c r="BO89" s="201"/>
      <c r="BP89" s="201"/>
      <c r="BQ89" s="201"/>
      <c r="BR89" s="201"/>
      <c r="BS89" s="201"/>
      <c r="BT89" s="201"/>
      <c r="BU89" s="201"/>
      <c r="BV89" s="201"/>
      <c r="BW89" s="201"/>
      <c r="BX89" s="201"/>
      <c r="BY89" s="201"/>
      <c r="BZ89" s="201"/>
      <c r="CA89" s="169"/>
      <c r="CB89" s="201"/>
      <c r="CC89" s="201"/>
      <c r="CD89" s="201"/>
      <c r="CE89" s="201"/>
      <c r="CF89" s="201"/>
      <c r="CG89" s="201"/>
      <c r="CH89" s="201"/>
      <c r="CI89" s="201"/>
      <c r="CJ89" s="201"/>
      <c r="CK89" s="201"/>
      <c r="CL89" s="201"/>
      <c r="CM89" s="201"/>
      <c r="CN89" s="201"/>
      <c r="CO89" s="201"/>
      <c r="CP89" s="177"/>
      <c r="CQ89" s="201"/>
      <c r="CR89" s="201"/>
      <c r="CS89" s="201"/>
      <c r="CT89" s="201"/>
      <c r="CU89" s="201"/>
      <c r="CV89" s="201"/>
      <c r="CW89" s="201"/>
      <c r="CX89" s="201"/>
      <c r="CY89" s="201"/>
      <c r="CZ89" s="201"/>
      <c r="DA89" s="201"/>
      <c r="DB89" s="201"/>
      <c r="DC89" s="201"/>
      <c r="DD89" s="201"/>
      <c r="DE89" s="177"/>
      <c r="DF89" s="201"/>
      <c r="DG89" s="201"/>
      <c r="DH89" s="201"/>
      <c r="DI89" s="201"/>
      <c r="DJ89" s="201"/>
      <c r="DK89" s="201"/>
      <c r="DL89" s="201"/>
      <c r="DM89" s="201"/>
      <c r="DN89" s="201"/>
      <c r="DO89" s="201"/>
      <c r="DP89" s="201"/>
      <c r="DQ89" s="201"/>
      <c r="DR89" s="201"/>
      <c r="DS89" s="201"/>
      <c r="DT89" s="175"/>
      <c r="DU89" s="203"/>
      <c r="DV89" s="203"/>
      <c r="DW89" s="203"/>
      <c r="DX89" s="203"/>
      <c r="DY89" s="203"/>
      <c r="DZ89" s="75"/>
      <c r="EA89" s="92"/>
      <c r="EB89" s="92"/>
      <c r="EC89" s="92"/>
      <c r="ED89" s="92"/>
      <c r="EE89" s="92"/>
      <c r="EF89" s="92"/>
      <c r="EG89" s="92"/>
      <c r="EH89" s="92"/>
      <c r="EI89" s="92"/>
      <c r="EJ89" s="92"/>
      <c r="EK89" s="92"/>
      <c r="EL89" s="92"/>
      <c r="EM89" s="92"/>
      <c r="EN89" s="92"/>
      <c r="EO89" s="92"/>
      <c r="EP89" s="92"/>
      <c r="EQ89" s="92"/>
      <c r="ER89" s="92"/>
      <c r="ES89" s="92"/>
      <c r="ET89" s="92"/>
      <c r="EU89" s="92"/>
      <c r="EV89" s="92"/>
      <c r="EW89" s="92"/>
      <c r="EX89" s="92"/>
      <c r="EY89" s="92"/>
      <c r="EZ89" s="92"/>
      <c r="FA89" s="92"/>
      <c r="FB89" s="92"/>
      <c r="FC89" s="92"/>
      <c r="FD89" s="92"/>
      <c r="FE89" s="92"/>
      <c r="FF89" s="92"/>
      <c r="FG89" s="92"/>
      <c r="FH89" s="92"/>
      <c r="FI89" s="92"/>
      <c r="FJ89" s="92"/>
      <c r="FK89" s="92"/>
      <c r="FL89" s="92"/>
      <c r="FM89" s="92"/>
      <c r="FN89" s="92"/>
      <c r="FO89" s="92"/>
      <c r="FP89" s="92"/>
      <c r="FQ89" s="92"/>
      <c r="FR89" s="92"/>
      <c r="FS89" s="92"/>
      <c r="FT89" s="92"/>
      <c r="FU89" s="92"/>
      <c r="FV89" s="92"/>
      <c r="FW89" s="75"/>
      <c r="FX89" s="31"/>
      <c r="FY89" s="31"/>
      <c r="FZ89" s="31"/>
      <c r="GA89" s="31"/>
    </row>
    <row r="90">
      <c r="A90" s="31"/>
      <c r="B90" s="77" t="s">
        <v>172</v>
      </c>
      <c r="C90" s="78" t="s">
        <v>173</v>
      </c>
      <c r="D90" s="78" t="s">
        <v>46</v>
      </c>
      <c r="E90" s="172">
        <v>45910.0</v>
      </c>
      <c r="F90" s="172">
        <v>45914.0</v>
      </c>
      <c r="G90" s="80">
        <f t="shared" si="21"/>
        <v>4</v>
      </c>
      <c r="H90" s="80"/>
      <c r="I90" s="81">
        <v>1.0</v>
      </c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  <c r="AT90" s="201"/>
      <c r="AU90" s="201"/>
      <c r="AV90" s="201"/>
      <c r="AW90" s="201"/>
      <c r="AX90" s="201"/>
      <c r="AY90" s="201"/>
      <c r="AZ90" s="201"/>
      <c r="BA90" s="201"/>
      <c r="BB90" s="201"/>
      <c r="BC90" s="201"/>
      <c r="BD90" s="201"/>
      <c r="BE90" s="201"/>
      <c r="BF90" s="201"/>
      <c r="BG90" s="201"/>
      <c r="BH90" s="201"/>
      <c r="BI90" s="201"/>
      <c r="BJ90" s="201"/>
      <c r="BK90" s="201"/>
      <c r="BL90" s="201"/>
      <c r="BM90" s="201"/>
      <c r="BN90" s="201"/>
      <c r="BO90" s="201"/>
      <c r="BP90" s="201"/>
      <c r="BQ90" s="201"/>
      <c r="BR90" s="201"/>
      <c r="BS90" s="201"/>
      <c r="BT90" s="201"/>
      <c r="BU90" s="201"/>
      <c r="BV90" s="201"/>
      <c r="BW90" s="201"/>
      <c r="BX90" s="201"/>
      <c r="BY90" s="201"/>
      <c r="BZ90" s="201"/>
      <c r="CA90" s="169"/>
      <c r="CB90" s="201"/>
      <c r="CC90" s="201"/>
      <c r="CD90" s="201"/>
      <c r="CE90" s="201"/>
      <c r="CF90" s="201"/>
      <c r="CG90" s="201"/>
      <c r="CH90" s="201"/>
      <c r="CI90" s="201"/>
      <c r="CJ90" s="201"/>
      <c r="CK90" s="201"/>
      <c r="CL90" s="201"/>
      <c r="CM90" s="201"/>
      <c r="CN90" s="201"/>
      <c r="CO90" s="201"/>
      <c r="CP90" s="177"/>
      <c r="CQ90" s="201"/>
      <c r="CR90" s="201"/>
      <c r="CS90" s="201"/>
      <c r="CT90" s="201"/>
      <c r="CU90" s="201"/>
      <c r="CV90" s="201"/>
      <c r="CW90" s="201"/>
      <c r="CX90" s="201"/>
      <c r="CY90" s="201"/>
      <c r="CZ90" s="201"/>
      <c r="DA90" s="201"/>
      <c r="DB90" s="201"/>
      <c r="DC90" s="201"/>
      <c r="DD90" s="201"/>
      <c r="DE90" s="177"/>
      <c r="DF90" s="201"/>
      <c r="DG90" s="201"/>
      <c r="DH90" s="201"/>
      <c r="DI90" s="201"/>
      <c r="DJ90" s="201"/>
      <c r="DK90" s="201"/>
      <c r="DL90" s="201"/>
      <c r="DM90" s="201"/>
      <c r="DN90" s="201"/>
      <c r="DO90" s="201"/>
      <c r="DP90" s="201"/>
      <c r="DQ90" s="201"/>
      <c r="DR90" s="201"/>
      <c r="DS90" s="201"/>
      <c r="DT90" s="175"/>
      <c r="DU90" s="203"/>
      <c r="DV90" s="203"/>
      <c r="DW90" s="203"/>
      <c r="DX90" s="203"/>
      <c r="DY90" s="203"/>
      <c r="DZ90" s="75"/>
      <c r="EA90" s="92"/>
      <c r="EB90" s="92"/>
      <c r="EC90" s="92"/>
      <c r="ED90" s="92"/>
      <c r="EE90" s="92"/>
      <c r="EF90" s="92"/>
      <c r="EG90" s="92"/>
      <c r="EH90" s="92"/>
      <c r="EI90" s="92"/>
      <c r="EJ90" s="92"/>
      <c r="EK90" s="92"/>
      <c r="EL90" s="92"/>
      <c r="EM90" s="92"/>
      <c r="EN90" s="92"/>
      <c r="EO90" s="92"/>
      <c r="EP90" s="92"/>
      <c r="EQ90" s="92"/>
      <c r="ER90" s="92"/>
      <c r="ES90" s="92"/>
      <c r="ET90" s="92"/>
      <c r="EU90" s="92"/>
      <c r="EV90" s="92"/>
      <c r="EW90" s="92"/>
      <c r="EX90" s="92"/>
      <c r="EY90" s="92"/>
      <c r="EZ90" s="92"/>
      <c r="FA90" s="92"/>
      <c r="FB90" s="92"/>
      <c r="FC90" s="92"/>
      <c r="FD90" s="92"/>
      <c r="FE90" s="92"/>
      <c r="FF90" s="92"/>
      <c r="FG90" s="92"/>
      <c r="FH90" s="92"/>
      <c r="FI90" s="92"/>
      <c r="FJ90" s="92"/>
      <c r="FK90" s="92"/>
      <c r="FL90" s="92"/>
      <c r="FM90" s="92"/>
      <c r="FN90" s="92"/>
      <c r="FO90" s="92"/>
      <c r="FP90" s="92"/>
      <c r="FQ90" s="92"/>
      <c r="FR90" s="92"/>
      <c r="FS90" s="92"/>
      <c r="FT90" s="92"/>
      <c r="FU90" s="92"/>
      <c r="FV90" s="92"/>
      <c r="FW90" s="75"/>
      <c r="FX90" s="31"/>
      <c r="FY90" s="31"/>
      <c r="FZ90" s="31"/>
      <c r="GA90" s="31"/>
    </row>
    <row r="91" ht="22.5" customHeight="1">
      <c r="A91" s="31"/>
      <c r="B91" s="70">
        <v>4.0</v>
      </c>
      <c r="C91" s="71" t="s">
        <v>115</v>
      </c>
      <c r="D91" s="72"/>
      <c r="E91" s="72"/>
      <c r="F91" s="72"/>
      <c r="G91" s="72"/>
      <c r="H91" s="72"/>
      <c r="I91" s="72"/>
      <c r="J91" s="194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68"/>
      <c r="BH91" s="168"/>
      <c r="BI91" s="168"/>
      <c r="BJ91" s="168"/>
      <c r="BK91" s="168"/>
      <c r="BL91" s="168"/>
      <c r="BM91" s="168"/>
      <c r="BN91" s="168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9"/>
      <c r="CB91" s="195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77"/>
      <c r="CQ91" s="195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77"/>
      <c r="DF91" s="195"/>
      <c r="DG91" s="168"/>
      <c r="DH91" s="168"/>
      <c r="DI91" s="168"/>
      <c r="DJ91" s="168"/>
      <c r="DK91" s="168"/>
      <c r="DL91" s="168"/>
      <c r="DM91" s="168"/>
      <c r="DN91" s="168"/>
      <c r="DO91" s="168"/>
      <c r="DP91" s="168"/>
      <c r="DQ91" s="168"/>
      <c r="DR91" s="168"/>
      <c r="DS91" s="168"/>
      <c r="DT91" s="175"/>
      <c r="DU91" s="195"/>
      <c r="DV91" s="168"/>
      <c r="DW91" s="168"/>
      <c r="DX91" s="168"/>
      <c r="DY91" s="196"/>
      <c r="DZ91" s="75"/>
      <c r="EA91" s="92"/>
      <c r="EB91" s="92"/>
      <c r="EC91" s="92"/>
      <c r="ED91" s="92"/>
      <c r="EE91" s="92"/>
      <c r="EF91" s="92"/>
      <c r="EG91" s="92"/>
      <c r="EH91" s="92"/>
      <c r="EI91" s="92"/>
      <c r="EJ91" s="92"/>
      <c r="EK91" s="92"/>
      <c r="EL91" s="92"/>
      <c r="EM91" s="92"/>
      <c r="EN91" s="92"/>
      <c r="EO91" s="92"/>
      <c r="EP91" s="92"/>
      <c r="EQ91" s="92"/>
      <c r="ER91" s="92"/>
      <c r="ES91" s="92"/>
      <c r="ET91" s="92"/>
      <c r="EU91" s="92"/>
      <c r="EV91" s="92"/>
      <c r="EW91" s="92"/>
      <c r="EX91" s="92"/>
      <c r="EY91" s="92"/>
      <c r="EZ91" s="92"/>
      <c r="FA91" s="92"/>
      <c r="FB91" s="92"/>
      <c r="FC91" s="92"/>
      <c r="FD91" s="92"/>
      <c r="FE91" s="92"/>
      <c r="FF91" s="92"/>
      <c r="FG91" s="92"/>
      <c r="FH91" s="92"/>
      <c r="FI91" s="92"/>
      <c r="FJ91" s="92"/>
      <c r="FK91" s="92"/>
      <c r="FL91" s="92"/>
      <c r="FM91" s="92"/>
      <c r="FN91" s="92"/>
      <c r="FO91" s="92"/>
      <c r="FP91" s="92"/>
      <c r="FQ91" s="92"/>
      <c r="FR91" s="92"/>
      <c r="FS91" s="92"/>
      <c r="FT91" s="92"/>
      <c r="FU91" s="92"/>
      <c r="FV91" s="92"/>
      <c r="FW91" s="75"/>
      <c r="FX91" s="31"/>
      <c r="FY91" s="31"/>
      <c r="FZ91" s="31"/>
      <c r="GA91" s="31"/>
    </row>
    <row r="92">
      <c r="A92" s="31"/>
      <c r="B92" s="77" t="s">
        <v>116</v>
      </c>
      <c r="C92" s="78" t="s">
        <v>174</v>
      </c>
      <c r="D92" s="78" t="s">
        <v>46</v>
      </c>
      <c r="E92" s="172">
        <v>45896.0</v>
      </c>
      <c r="F92" s="172">
        <v>45909.0</v>
      </c>
      <c r="G92" s="80">
        <f>DAYS360(E92,F92)</f>
        <v>12</v>
      </c>
      <c r="H92" s="80" t="s">
        <v>162</v>
      </c>
      <c r="I92" s="81">
        <v>1.0</v>
      </c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169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177"/>
      <c r="CQ92" s="74"/>
      <c r="CR92" s="74"/>
      <c r="CS92" s="74"/>
      <c r="CT92" s="74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177"/>
      <c r="DF92" s="200"/>
      <c r="DG92" s="200"/>
      <c r="DH92" s="200"/>
      <c r="DI92" s="200"/>
      <c r="DJ92" s="200"/>
      <c r="DK92" s="200"/>
      <c r="DL92" s="200"/>
      <c r="DM92" s="200"/>
      <c r="DN92" s="200"/>
      <c r="DO92" s="200"/>
      <c r="DP92" s="200"/>
      <c r="DQ92" s="200"/>
      <c r="DR92" s="200"/>
      <c r="DS92" s="200"/>
      <c r="DT92" s="175"/>
      <c r="DU92" s="74"/>
      <c r="DV92" s="74"/>
      <c r="DW92" s="74"/>
      <c r="DX92" s="74"/>
      <c r="DY92" s="74"/>
      <c r="DZ92" s="75"/>
      <c r="EA92" s="92"/>
      <c r="EB92" s="92"/>
      <c r="EC92" s="92"/>
      <c r="ED92" s="92"/>
      <c r="EE92" s="92"/>
      <c r="EF92" s="92"/>
      <c r="EG92" s="92"/>
      <c r="EH92" s="92"/>
      <c r="EI92" s="92"/>
      <c r="EJ92" s="92"/>
      <c r="EK92" s="92"/>
      <c r="EL92" s="92"/>
      <c r="EM92" s="92"/>
      <c r="EN92" s="92"/>
      <c r="EO92" s="92"/>
      <c r="EP92" s="92"/>
      <c r="EQ92" s="92"/>
      <c r="ER92" s="92"/>
      <c r="ES92" s="92"/>
      <c r="ET92" s="92"/>
      <c r="EU92" s="92"/>
      <c r="EV92" s="92"/>
      <c r="EW92" s="92"/>
      <c r="EX92" s="92"/>
      <c r="EY92" s="92"/>
      <c r="EZ92" s="92"/>
      <c r="FA92" s="92"/>
      <c r="FB92" s="92"/>
      <c r="FC92" s="92"/>
      <c r="FD92" s="92"/>
      <c r="FE92" s="92"/>
      <c r="FF92" s="92"/>
      <c r="FG92" s="92"/>
      <c r="FH92" s="92"/>
      <c r="FI92" s="92"/>
      <c r="FJ92" s="92"/>
      <c r="FK92" s="92"/>
      <c r="FL92" s="92"/>
      <c r="FM92" s="92"/>
      <c r="FN92" s="92"/>
      <c r="FO92" s="92"/>
      <c r="FP92" s="92"/>
      <c r="FQ92" s="92"/>
      <c r="FR92" s="92"/>
      <c r="FS92" s="92"/>
      <c r="FT92" s="92"/>
      <c r="FU92" s="92"/>
      <c r="FV92" s="92"/>
      <c r="FW92" s="75"/>
      <c r="FX92" s="31"/>
      <c r="FY92" s="31"/>
      <c r="FZ92" s="31"/>
      <c r="GA92" s="31"/>
    </row>
    <row r="93" ht="30.0" customHeight="1">
      <c r="A93" s="31"/>
      <c r="B93" s="68" t="s">
        <v>175</v>
      </c>
      <c r="J93" s="205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206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06"/>
      <c r="BN93" s="206"/>
      <c r="BO93" s="206"/>
      <c r="BP93" s="206"/>
      <c r="BQ93" s="206"/>
      <c r="BR93" s="206"/>
      <c r="BS93" s="206"/>
      <c r="BT93" s="206"/>
      <c r="BU93" s="206"/>
      <c r="BV93" s="206"/>
      <c r="BW93" s="206"/>
      <c r="BX93" s="206"/>
      <c r="BY93" s="206"/>
      <c r="BZ93" s="207"/>
      <c r="CA93" s="169"/>
      <c r="CB93" s="205"/>
      <c r="CC93" s="206"/>
      <c r="CD93" s="206"/>
      <c r="CE93" s="206"/>
      <c r="CF93" s="206"/>
      <c r="CG93" s="206"/>
      <c r="CH93" s="206"/>
      <c r="CI93" s="206"/>
      <c r="CJ93" s="206"/>
      <c r="CK93" s="206"/>
      <c r="CL93" s="206"/>
      <c r="CM93" s="206"/>
      <c r="CN93" s="206"/>
      <c r="CO93" s="207"/>
      <c r="CP93" s="177"/>
      <c r="CQ93" s="205"/>
      <c r="CR93" s="206"/>
      <c r="CS93" s="206"/>
      <c r="CT93" s="206"/>
      <c r="CU93" s="206"/>
      <c r="CV93" s="206"/>
      <c r="CW93" s="206"/>
      <c r="CX93" s="206"/>
      <c r="CY93" s="206"/>
      <c r="CZ93" s="206"/>
      <c r="DA93" s="206"/>
      <c r="DB93" s="206"/>
      <c r="DC93" s="206"/>
      <c r="DD93" s="207"/>
      <c r="DE93" s="177"/>
      <c r="DF93" s="205"/>
      <c r="DG93" s="206"/>
      <c r="DH93" s="206"/>
      <c r="DI93" s="206"/>
      <c r="DJ93" s="206"/>
      <c r="DK93" s="206"/>
      <c r="DL93" s="206"/>
      <c r="DM93" s="206"/>
      <c r="DN93" s="206"/>
      <c r="DO93" s="206"/>
      <c r="DP93" s="206"/>
      <c r="DQ93" s="206"/>
      <c r="DR93" s="206"/>
      <c r="DS93" s="207"/>
      <c r="DT93" s="175"/>
      <c r="DU93" s="205"/>
      <c r="DV93" s="206"/>
      <c r="DW93" s="206"/>
      <c r="DX93" s="206"/>
      <c r="DY93" s="207"/>
      <c r="DZ93" s="75"/>
      <c r="EA93" s="205"/>
      <c r="EB93" s="206"/>
      <c r="EC93" s="206"/>
      <c r="ED93" s="206"/>
      <c r="EE93" s="206"/>
      <c r="EF93" s="206"/>
      <c r="EG93" s="206"/>
      <c r="EH93" s="206"/>
      <c r="EI93" s="206"/>
      <c r="EJ93" s="206"/>
      <c r="EK93" s="206"/>
      <c r="EL93" s="206"/>
      <c r="EM93" s="206"/>
      <c r="EN93" s="206"/>
      <c r="EO93" s="206"/>
      <c r="EP93" s="206"/>
      <c r="EQ93" s="206"/>
      <c r="ER93" s="206"/>
      <c r="ES93" s="206"/>
      <c r="ET93" s="206"/>
      <c r="EU93" s="206"/>
      <c r="EV93" s="206"/>
      <c r="EW93" s="206"/>
      <c r="EX93" s="206"/>
      <c r="EY93" s="206"/>
      <c r="EZ93" s="206"/>
      <c r="FA93" s="206"/>
      <c r="FB93" s="206"/>
      <c r="FC93" s="206"/>
      <c r="FD93" s="206"/>
      <c r="FE93" s="206"/>
      <c r="FF93" s="206"/>
      <c r="FG93" s="206"/>
      <c r="FH93" s="206"/>
      <c r="FI93" s="206"/>
      <c r="FJ93" s="206"/>
      <c r="FK93" s="206"/>
      <c r="FL93" s="206"/>
      <c r="FM93" s="206"/>
      <c r="FN93" s="206"/>
      <c r="FO93" s="206"/>
      <c r="FP93" s="206"/>
      <c r="FQ93" s="206"/>
      <c r="FR93" s="206"/>
      <c r="FS93" s="206"/>
      <c r="FT93" s="206"/>
      <c r="FU93" s="206"/>
      <c r="FV93" s="207"/>
      <c r="FW93" s="75"/>
      <c r="FX93" s="31"/>
      <c r="FY93" s="31"/>
      <c r="FZ93" s="31"/>
      <c r="GA93" s="31"/>
    </row>
    <row r="94" ht="21.0" customHeight="1">
      <c r="A94" s="31"/>
      <c r="B94" s="31"/>
      <c r="C94" s="31"/>
      <c r="D94" s="31"/>
      <c r="E94" s="31"/>
      <c r="F94" s="31"/>
      <c r="G94" s="208"/>
      <c r="H94" s="208"/>
      <c r="I94" s="208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74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  <c r="DK94" s="74"/>
      <c r="DL94" s="74"/>
      <c r="DM94" s="74"/>
      <c r="DN94" s="74"/>
      <c r="DO94" s="74"/>
      <c r="DP94" s="74"/>
      <c r="DQ94" s="74"/>
      <c r="DR94" s="74"/>
      <c r="DS94" s="74"/>
      <c r="DT94" s="74"/>
      <c r="DU94" s="74"/>
      <c r="DV94" s="74"/>
      <c r="DW94" s="74"/>
      <c r="DX94" s="74"/>
      <c r="DY94" s="74"/>
      <c r="DZ94" s="75"/>
      <c r="EA94" s="60" t="s">
        <v>176</v>
      </c>
      <c r="EO94" s="49" t="s">
        <v>21</v>
      </c>
      <c r="EP94" s="60" t="s">
        <v>177</v>
      </c>
      <c r="FD94" s="49" t="s">
        <v>21</v>
      </c>
      <c r="FE94" s="60" t="s">
        <v>178</v>
      </c>
      <c r="FS94" s="49" t="s">
        <v>21</v>
      </c>
      <c r="FT94" s="209" t="s">
        <v>179</v>
      </c>
      <c r="FU94" s="206"/>
      <c r="FV94" s="207"/>
      <c r="FW94" s="49" t="s">
        <v>21</v>
      </c>
      <c r="FX94" s="31"/>
      <c r="FY94" s="31"/>
      <c r="FZ94" s="31"/>
      <c r="GA94" s="31"/>
    </row>
    <row r="95" ht="21.0" customHeight="1">
      <c r="A95" s="31"/>
      <c r="B95" s="31"/>
      <c r="C95" s="31"/>
      <c r="D95" s="31"/>
      <c r="E95" s="31"/>
      <c r="F95" s="31"/>
      <c r="G95" s="208"/>
      <c r="H95" s="208"/>
      <c r="I95" s="208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74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  <c r="DK95" s="74"/>
      <c r="DL95" s="74"/>
      <c r="DM95" s="74"/>
      <c r="DN95" s="74"/>
      <c r="DO95" s="74"/>
      <c r="DP95" s="74"/>
      <c r="DQ95" s="74"/>
      <c r="DR95" s="74"/>
      <c r="DS95" s="74"/>
      <c r="DT95" s="74"/>
      <c r="DU95" s="74"/>
      <c r="DV95" s="74"/>
      <c r="DW95" s="74"/>
      <c r="DX95" s="74"/>
      <c r="DY95" s="74"/>
      <c r="DZ95" s="75"/>
      <c r="EA95" s="170"/>
      <c r="EB95" s="170"/>
      <c r="EC95" s="170"/>
      <c r="ED95" s="170"/>
      <c r="EE95" s="170"/>
      <c r="EF95" s="170"/>
      <c r="EG95" s="170"/>
      <c r="EH95" s="170"/>
      <c r="EI95" s="170"/>
      <c r="EJ95" s="170"/>
      <c r="EK95" s="170"/>
      <c r="EL95" s="170"/>
      <c r="EM95" s="170"/>
      <c r="EN95" s="170"/>
      <c r="EO95" s="61"/>
      <c r="EP95" s="170"/>
      <c r="EQ95" s="170"/>
      <c r="ER95" s="170"/>
      <c r="ES95" s="170"/>
      <c r="ET95" s="170"/>
      <c r="EU95" s="170"/>
      <c r="EV95" s="170"/>
      <c r="EW95" s="170"/>
      <c r="EX95" s="170"/>
      <c r="EY95" s="170"/>
      <c r="EZ95" s="170"/>
      <c r="FA95" s="170"/>
      <c r="FB95" s="170"/>
      <c r="FC95" s="170"/>
      <c r="FD95" s="61"/>
      <c r="FE95" s="170"/>
      <c r="FF95" s="170"/>
      <c r="FG95" s="170"/>
      <c r="FH95" s="170"/>
      <c r="FI95" s="170"/>
      <c r="FJ95" s="170"/>
      <c r="FK95" s="170"/>
      <c r="FL95" s="170"/>
      <c r="FM95" s="170"/>
      <c r="FN95" s="170"/>
      <c r="FO95" s="170"/>
      <c r="FP95" s="170"/>
      <c r="FQ95" s="170"/>
      <c r="FR95" s="170"/>
      <c r="FS95" s="61"/>
      <c r="FT95" s="210"/>
      <c r="FU95" s="206"/>
      <c r="FV95" s="207"/>
      <c r="FW95" s="61"/>
      <c r="FX95" s="31"/>
      <c r="FY95" s="31"/>
      <c r="FZ95" s="31"/>
      <c r="GA95" s="31"/>
    </row>
    <row r="96">
      <c r="A96" s="31"/>
      <c r="B96" s="31"/>
      <c r="C96" s="31"/>
      <c r="D96" s="31"/>
      <c r="E96" s="31"/>
      <c r="F96" s="31"/>
      <c r="G96" s="208"/>
      <c r="H96" s="208"/>
      <c r="I96" s="208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74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  <c r="DK96" s="74"/>
      <c r="DL96" s="74"/>
      <c r="DM96" s="74"/>
      <c r="DN96" s="74"/>
      <c r="DO96" s="74"/>
      <c r="DP96" s="74"/>
      <c r="DQ96" s="74"/>
      <c r="DR96" s="74"/>
      <c r="DS96" s="74"/>
      <c r="DT96" s="74"/>
      <c r="DU96" s="74"/>
      <c r="DV96" s="74"/>
      <c r="DW96" s="74"/>
      <c r="DX96" s="74"/>
      <c r="DY96" s="74"/>
      <c r="DZ96" s="75"/>
      <c r="EA96" s="92"/>
      <c r="EB96" s="92"/>
      <c r="EC96" s="92"/>
      <c r="ED96" s="92"/>
      <c r="EE96" s="92"/>
      <c r="EF96" s="92"/>
      <c r="EG96" s="92"/>
      <c r="EH96" s="92"/>
      <c r="EI96" s="92"/>
      <c r="EJ96" s="92"/>
      <c r="EK96" s="92"/>
      <c r="EL96" s="92"/>
      <c r="EM96" s="92"/>
      <c r="EN96" s="92"/>
      <c r="EO96" s="173"/>
      <c r="EP96" s="92"/>
      <c r="EQ96" s="92"/>
      <c r="ER96" s="92"/>
      <c r="ES96" s="92"/>
      <c r="ET96" s="92"/>
      <c r="EU96" s="92"/>
      <c r="EV96" s="92"/>
      <c r="EW96" s="92"/>
      <c r="EX96" s="92"/>
      <c r="EY96" s="92"/>
      <c r="EZ96" s="92"/>
      <c r="FA96" s="92"/>
      <c r="FB96" s="92"/>
      <c r="FC96" s="92"/>
      <c r="FD96" s="173"/>
      <c r="FE96" s="92"/>
      <c r="FF96" s="92"/>
      <c r="FG96" s="92"/>
      <c r="FH96" s="92"/>
      <c r="FI96" s="92"/>
      <c r="FJ96" s="92"/>
      <c r="FK96" s="92"/>
      <c r="FL96" s="92"/>
      <c r="FM96" s="92"/>
      <c r="FN96" s="92"/>
      <c r="FO96" s="92"/>
      <c r="FP96" s="92"/>
      <c r="FQ96" s="92"/>
      <c r="FR96" s="92"/>
      <c r="FS96" s="173"/>
      <c r="FT96" s="92"/>
      <c r="FU96" s="92"/>
      <c r="FV96" s="92"/>
      <c r="FW96" s="75"/>
      <c r="FX96" s="31"/>
      <c r="FY96" s="31"/>
      <c r="FZ96" s="31"/>
      <c r="GA96" s="31"/>
    </row>
    <row r="97">
      <c r="A97" s="31"/>
      <c r="B97" s="31"/>
      <c r="C97" s="31"/>
      <c r="D97" s="31"/>
      <c r="E97" s="31"/>
      <c r="F97" s="31"/>
      <c r="G97" s="208"/>
      <c r="H97" s="208"/>
      <c r="I97" s="208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74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  <c r="DK97" s="74"/>
      <c r="DL97" s="74"/>
      <c r="DM97" s="74"/>
      <c r="DN97" s="74"/>
      <c r="DO97" s="74"/>
      <c r="DP97" s="74"/>
      <c r="DQ97" s="74"/>
      <c r="DR97" s="74"/>
      <c r="DS97" s="74"/>
      <c r="DT97" s="74"/>
      <c r="DU97" s="74"/>
      <c r="DV97" s="74"/>
      <c r="DW97" s="74"/>
      <c r="DX97" s="74"/>
      <c r="DY97" s="74"/>
      <c r="DZ97" s="75"/>
      <c r="EA97" s="92"/>
      <c r="EB97" s="92"/>
      <c r="EC97" s="92"/>
      <c r="ED97" s="92"/>
      <c r="EE97" s="92"/>
      <c r="EF97" s="92"/>
      <c r="EG97" s="92"/>
      <c r="EH97" s="92"/>
      <c r="EI97" s="92"/>
      <c r="EJ97" s="92"/>
      <c r="EK97" s="92"/>
      <c r="EL97" s="92"/>
      <c r="EM97" s="92"/>
      <c r="EN97" s="92"/>
      <c r="EO97" s="177"/>
      <c r="EP97" s="92"/>
      <c r="EQ97" s="92"/>
      <c r="ER97" s="92"/>
      <c r="ES97" s="92"/>
      <c r="ET97" s="92"/>
      <c r="EU97" s="92"/>
      <c r="EV97" s="92"/>
      <c r="EW97" s="92"/>
      <c r="EX97" s="92"/>
      <c r="EY97" s="92"/>
      <c r="EZ97" s="92"/>
      <c r="FA97" s="92"/>
      <c r="FB97" s="92"/>
      <c r="FC97" s="92"/>
      <c r="FD97" s="177"/>
      <c r="FE97" s="92"/>
      <c r="FF97" s="92"/>
      <c r="FG97" s="92"/>
      <c r="FH97" s="92"/>
      <c r="FI97" s="92"/>
      <c r="FJ97" s="92"/>
      <c r="FK97" s="92"/>
      <c r="FL97" s="92"/>
      <c r="FM97" s="92"/>
      <c r="FN97" s="92"/>
      <c r="FO97" s="92"/>
      <c r="FP97" s="92"/>
      <c r="FQ97" s="92"/>
      <c r="FR97" s="92"/>
      <c r="FS97" s="177"/>
      <c r="FT97" s="92"/>
      <c r="FU97" s="92"/>
      <c r="FV97" s="92"/>
      <c r="FW97" s="75"/>
      <c r="FX97" s="31"/>
      <c r="FY97" s="31"/>
      <c r="FZ97" s="31"/>
      <c r="GA97" s="31"/>
    </row>
    <row r="98">
      <c r="A98" s="31"/>
      <c r="B98" s="31"/>
      <c r="C98" s="31"/>
      <c r="D98" s="31"/>
      <c r="E98" s="31"/>
      <c r="F98" s="31"/>
      <c r="G98" s="208"/>
      <c r="H98" s="208"/>
      <c r="I98" s="208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74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  <c r="DK98" s="74"/>
      <c r="DL98" s="74"/>
      <c r="DM98" s="74"/>
      <c r="DN98" s="74"/>
      <c r="DO98" s="74"/>
      <c r="DP98" s="74"/>
      <c r="DQ98" s="74"/>
      <c r="DR98" s="74"/>
      <c r="DS98" s="74"/>
      <c r="DT98" s="74"/>
      <c r="DU98" s="74"/>
      <c r="DV98" s="74"/>
      <c r="DW98" s="74"/>
      <c r="DX98" s="74"/>
      <c r="DY98" s="74"/>
      <c r="DZ98" s="75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177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177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177"/>
      <c r="FT98" s="92"/>
      <c r="FU98" s="92"/>
      <c r="FV98" s="92"/>
      <c r="FW98" s="75"/>
      <c r="FX98" s="31"/>
      <c r="FY98" s="31"/>
      <c r="FZ98" s="31"/>
      <c r="GA98" s="31"/>
    </row>
    <row r="99">
      <c r="A99" s="31"/>
      <c r="B99" s="31"/>
      <c r="C99" s="31"/>
      <c r="D99" s="31"/>
      <c r="E99" s="31"/>
      <c r="F99" s="31"/>
      <c r="G99" s="208"/>
      <c r="H99" s="208"/>
      <c r="I99" s="208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74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  <c r="DK99" s="74"/>
      <c r="DL99" s="74"/>
      <c r="DM99" s="74"/>
      <c r="DN99" s="74"/>
      <c r="DO99" s="74"/>
      <c r="DP99" s="74"/>
      <c r="DQ99" s="74"/>
      <c r="DR99" s="74"/>
      <c r="DS99" s="74"/>
      <c r="DT99" s="74"/>
      <c r="DU99" s="74"/>
      <c r="DV99" s="74"/>
      <c r="DW99" s="74"/>
      <c r="DX99" s="74"/>
      <c r="DY99" s="74"/>
      <c r="DZ99" s="75"/>
      <c r="EA99" s="92"/>
      <c r="EB99" s="92"/>
      <c r="EC99" s="92"/>
      <c r="ED99" s="92"/>
      <c r="EE99" s="92"/>
      <c r="EF99" s="92"/>
      <c r="EG99" s="92"/>
      <c r="EH99" s="92"/>
      <c r="EI99" s="92"/>
      <c r="EJ99" s="92"/>
      <c r="EK99" s="92"/>
      <c r="EL99" s="92"/>
      <c r="EM99" s="92"/>
      <c r="EN99" s="92"/>
      <c r="EO99" s="177"/>
      <c r="EP99" s="92"/>
      <c r="EQ99" s="92"/>
      <c r="ER99" s="92"/>
      <c r="ES99" s="92"/>
      <c r="ET99" s="92"/>
      <c r="EU99" s="92"/>
      <c r="EV99" s="92"/>
      <c r="EW99" s="92"/>
      <c r="EX99" s="92"/>
      <c r="EY99" s="92"/>
      <c r="EZ99" s="92"/>
      <c r="FA99" s="92"/>
      <c r="FB99" s="92"/>
      <c r="FC99" s="92"/>
      <c r="FD99" s="177"/>
      <c r="FE99" s="92"/>
      <c r="FF99" s="92"/>
      <c r="FG99" s="92"/>
      <c r="FH99" s="92"/>
      <c r="FI99" s="92"/>
      <c r="FJ99" s="92"/>
      <c r="FK99" s="92"/>
      <c r="FL99" s="92"/>
      <c r="FM99" s="92"/>
      <c r="FN99" s="92"/>
      <c r="FO99" s="92"/>
      <c r="FP99" s="92"/>
      <c r="FQ99" s="92"/>
      <c r="FR99" s="92"/>
      <c r="FS99" s="177"/>
      <c r="FT99" s="92"/>
      <c r="FU99" s="92"/>
      <c r="FV99" s="92"/>
      <c r="FW99" s="75"/>
      <c r="FX99" s="31"/>
      <c r="FY99" s="31"/>
      <c r="FZ99" s="31"/>
      <c r="GA99" s="31"/>
    </row>
    <row r="100">
      <c r="A100" s="31"/>
      <c r="B100" s="31"/>
      <c r="C100" s="31"/>
      <c r="D100" s="31"/>
      <c r="E100" s="31"/>
      <c r="F100" s="31"/>
      <c r="G100" s="208"/>
      <c r="H100" s="208"/>
      <c r="I100" s="208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4"/>
      <c r="CH100" s="74"/>
      <c r="CI100" s="74"/>
      <c r="CJ100" s="74"/>
      <c r="CK100" s="74"/>
      <c r="CL100" s="74"/>
      <c r="CM100" s="74"/>
      <c r="CN100" s="74"/>
      <c r="CO100" s="74"/>
      <c r="CP100" s="74"/>
      <c r="CQ100" s="74"/>
      <c r="CR100" s="74"/>
      <c r="CS100" s="74"/>
      <c r="CT100" s="74"/>
      <c r="CU100" s="74"/>
      <c r="CV100" s="74"/>
      <c r="CW100" s="74"/>
      <c r="CX100" s="74"/>
      <c r="CY100" s="74"/>
      <c r="CZ100" s="74"/>
      <c r="DA100" s="74"/>
      <c r="DB100" s="74"/>
      <c r="DC100" s="74"/>
      <c r="DD100" s="74"/>
      <c r="DE100" s="74"/>
      <c r="DF100" s="74"/>
      <c r="DG100" s="74"/>
      <c r="DH100" s="74"/>
      <c r="DI100" s="74"/>
      <c r="DJ100" s="74"/>
      <c r="DK100" s="74"/>
      <c r="DL100" s="74"/>
      <c r="DM100" s="74"/>
      <c r="DN100" s="74"/>
      <c r="DO100" s="74"/>
      <c r="DP100" s="74"/>
      <c r="DQ100" s="74"/>
      <c r="DR100" s="74"/>
      <c r="DS100" s="74"/>
      <c r="DT100" s="74"/>
      <c r="DU100" s="74"/>
      <c r="DV100" s="74"/>
      <c r="DW100" s="74"/>
      <c r="DX100" s="74"/>
      <c r="DY100" s="74"/>
      <c r="DZ100" s="75"/>
      <c r="EA100" s="92"/>
      <c r="EB100" s="92"/>
      <c r="EC100" s="92"/>
      <c r="ED100" s="92"/>
      <c r="EE100" s="92"/>
      <c r="EF100" s="92"/>
      <c r="EG100" s="92"/>
      <c r="EH100" s="92"/>
      <c r="EI100" s="92"/>
      <c r="EJ100" s="92"/>
      <c r="EK100" s="92"/>
      <c r="EL100" s="92"/>
      <c r="EM100" s="92"/>
      <c r="EN100" s="92"/>
      <c r="EO100" s="177"/>
      <c r="EP100" s="92"/>
      <c r="EQ100" s="92"/>
      <c r="ER100" s="92"/>
      <c r="ES100" s="92"/>
      <c r="ET100" s="92"/>
      <c r="EU100" s="92"/>
      <c r="EV100" s="92"/>
      <c r="EW100" s="92"/>
      <c r="EX100" s="92"/>
      <c r="EY100" s="92"/>
      <c r="EZ100" s="92"/>
      <c r="FA100" s="92"/>
      <c r="FB100" s="92"/>
      <c r="FC100" s="92"/>
      <c r="FD100" s="177"/>
      <c r="FE100" s="92"/>
      <c r="FF100" s="92"/>
      <c r="FG100" s="92"/>
      <c r="FH100" s="92"/>
      <c r="FI100" s="92"/>
      <c r="FJ100" s="92"/>
      <c r="FK100" s="92"/>
      <c r="FL100" s="92"/>
      <c r="FM100" s="92"/>
      <c r="FN100" s="92"/>
      <c r="FO100" s="92"/>
      <c r="FP100" s="92"/>
      <c r="FQ100" s="92"/>
      <c r="FR100" s="92"/>
      <c r="FS100" s="177"/>
      <c r="FT100" s="92"/>
      <c r="FU100" s="92"/>
      <c r="FV100" s="92"/>
      <c r="FW100" s="75"/>
      <c r="FX100" s="31"/>
      <c r="FY100" s="31"/>
      <c r="FZ100" s="31"/>
      <c r="GA100" s="31"/>
    </row>
    <row r="101">
      <c r="A101" s="31"/>
      <c r="B101" s="31"/>
      <c r="C101" s="31"/>
      <c r="D101" s="31"/>
      <c r="E101" s="31"/>
      <c r="F101" s="31"/>
      <c r="G101" s="208"/>
      <c r="H101" s="208"/>
      <c r="I101" s="208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4"/>
      <c r="CH101" s="74"/>
      <c r="CI101" s="74"/>
      <c r="CJ101" s="74"/>
      <c r="CK101" s="74"/>
      <c r="CL101" s="74"/>
      <c r="CM101" s="74"/>
      <c r="CN101" s="74"/>
      <c r="CO101" s="74"/>
      <c r="CP101" s="74"/>
      <c r="CQ101" s="74"/>
      <c r="CR101" s="74"/>
      <c r="CS101" s="74"/>
      <c r="CT101" s="74"/>
      <c r="CU101" s="74"/>
      <c r="CV101" s="74"/>
      <c r="CW101" s="74"/>
      <c r="CX101" s="74"/>
      <c r="CY101" s="74"/>
      <c r="CZ101" s="74"/>
      <c r="DA101" s="74"/>
      <c r="DB101" s="74"/>
      <c r="DC101" s="74"/>
      <c r="DD101" s="74"/>
      <c r="DE101" s="74"/>
      <c r="DF101" s="74"/>
      <c r="DG101" s="74"/>
      <c r="DH101" s="74"/>
      <c r="DI101" s="74"/>
      <c r="DJ101" s="74"/>
      <c r="DK101" s="74"/>
      <c r="DL101" s="74"/>
      <c r="DM101" s="74"/>
      <c r="DN101" s="74"/>
      <c r="DO101" s="74"/>
      <c r="DP101" s="74"/>
      <c r="DQ101" s="74"/>
      <c r="DR101" s="74"/>
      <c r="DS101" s="74"/>
      <c r="DT101" s="74"/>
      <c r="DU101" s="74"/>
      <c r="DV101" s="74"/>
      <c r="DW101" s="74"/>
      <c r="DX101" s="74"/>
      <c r="DY101" s="74"/>
      <c r="DZ101" s="75"/>
      <c r="EA101" s="92"/>
      <c r="EB101" s="92"/>
      <c r="EC101" s="92"/>
      <c r="ED101" s="92"/>
      <c r="EE101" s="92"/>
      <c r="EF101" s="92"/>
      <c r="EG101" s="92"/>
      <c r="EH101" s="92"/>
      <c r="EI101" s="92"/>
      <c r="EJ101" s="92"/>
      <c r="EK101" s="92"/>
      <c r="EL101" s="92"/>
      <c r="EM101" s="92"/>
      <c r="EN101" s="92"/>
      <c r="EO101" s="177"/>
      <c r="EP101" s="92"/>
      <c r="EQ101" s="92"/>
      <c r="ER101" s="92"/>
      <c r="ES101" s="92"/>
      <c r="ET101" s="92"/>
      <c r="EU101" s="92"/>
      <c r="EV101" s="92"/>
      <c r="EW101" s="92"/>
      <c r="EX101" s="92"/>
      <c r="EY101" s="92"/>
      <c r="EZ101" s="92"/>
      <c r="FA101" s="92"/>
      <c r="FB101" s="92"/>
      <c r="FC101" s="92"/>
      <c r="FD101" s="177"/>
      <c r="FE101" s="92"/>
      <c r="FF101" s="92"/>
      <c r="FG101" s="92"/>
      <c r="FH101" s="92"/>
      <c r="FI101" s="92"/>
      <c r="FJ101" s="92"/>
      <c r="FK101" s="92"/>
      <c r="FL101" s="92"/>
      <c r="FM101" s="92"/>
      <c r="FN101" s="92"/>
      <c r="FO101" s="92"/>
      <c r="FP101" s="92"/>
      <c r="FQ101" s="92"/>
      <c r="FR101" s="92"/>
      <c r="FS101" s="177"/>
      <c r="FT101" s="92"/>
      <c r="FU101" s="92"/>
      <c r="FV101" s="92"/>
      <c r="FW101" s="75"/>
      <c r="FX101" s="31"/>
      <c r="FY101" s="31"/>
      <c r="FZ101" s="31"/>
      <c r="GA101" s="31"/>
    </row>
    <row r="102">
      <c r="A102" s="31"/>
      <c r="B102" s="31"/>
      <c r="C102" s="31"/>
      <c r="D102" s="31"/>
      <c r="E102" s="31"/>
      <c r="F102" s="31"/>
      <c r="G102" s="208"/>
      <c r="H102" s="208"/>
      <c r="I102" s="208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74"/>
      <c r="CF102" s="74"/>
      <c r="CG102" s="74"/>
      <c r="CH102" s="74"/>
      <c r="CI102" s="74"/>
      <c r="CJ102" s="74"/>
      <c r="CK102" s="74"/>
      <c r="CL102" s="74"/>
      <c r="CM102" s="74"/>
      <c r="CN102" s="74"/>
      <c r="CO102" s="74"/>
      <c r="CP102" s="74"/>
      <c r="CQ102" s="74"/>
      <c r="CR102" s="74"/>
      <c r="CS102" s="74"/>
      <c r="CT102" s="74"/>
      <c r="CU102" s="74"/>
      <c r="CV102" s="74"/>
      <c r="CW102" s="74"/>
      <c r="CX102" s="74"/>
      <c r="CY102" s="74"/>
      <c r="CZ102" s="74"/>
      <c r="DA102" s="74"/>
      <c r="DB102" s="74"/>
      <c r="DC102" s="74"/>
      <c r="DD102" s="74"/>
      <c r="DE102" s="74"/>
      <c r="DF102" s="74"/>
      <c r="DG102" s="74"/>
      <c r="DH102" s="74"/>
      <c r="DI102" s="74"/>
      <c r="DJ102" s="74"/>
      <c r="DK102" s="74"/>
      <c r="DL102" s="74"/>
      <c r="DM102" s="74"/>
      <c r="DN102" s="74"/>
      <c r="DO102" s="74"/>
      <c r="DP102" s="74"/>
      <c r="DQ102" s="74"/>
      <c r="DR102" s="74"/>
      <c r="DS102" s="74"/>
      <c r="DT102" s="74"/>
      <c r="DU102" s="74"/>
      <c r="DV102" s="74"/>
      <c r="DW102" s="74"/>
      <c r="DX102" s="74"/>
      <c r="DY102" s="74"/>
      <c r="DZ102" s="75"/>
      <c r="EA102" s="92"/>
      <c r="EB102" s="92"/>
      <c r="EC102" s="92"/>
      <c r="ED102" s="92"/>
      <c r="EE102" s="92"/>
      <c r="EF102" s="92"/>
      <c r="EG102" s="92"/>
      <c r="EH102" s="92"/>
      <c r="EI102" s="92"/>
      <c r="EJ102" s="92"/>
      <c r="EK102" s="92"/>
      <c r="EL102" s="92"/>
      <c r="EM102" s="92"/>
      <c r="EN102" s="92"/>
      <c r="EO102" s="177"/>
      <c r="EP102" s="92"/>
      <c r="EQ102" s="92"/>
      <c r="ER102" s="92"/>
      <c r="ES102" s="92"/>
      <c r="ET102" s="92"/>
      <c r="EU102" s="92"/>
      <c r="EV102" s="92"/>
      <c r="EW102" s="92"/>
      <c r="EX102" s="92"/>
      <c r="EY102" s="92"/>
      <c r="EZ102" s="92"/>
      <c r="FA102" s="92"/>
      <c r="FB102" s="92"/>
      <c r="FC102" s="92"/>
      <c r="FD102" s="177"/>
      <c r="FE102" s="92"/>
      <c r="FF102" s="92"/>
      <c r="FG102" s="92"/>
      <c r="FH102" s="92"/>
      <c r="FI102" s="92"/>
      <c r="FJ102" s="92"/>
      <c r="FK102" s="92"/>
      <c r="FL102" s="92"/>
      <c r="FM102" s="92"/>
      <c r="FN102" s="92"/>
      <c r="FO102" s="92"/>
      <c r="FP102" s="92"/>
      <c r="FQ102" s="92"/>
      <c r="FR102" s="92"/>
      <c r="FS102" s="177"/>
      <c r="FT102" s="92"/>
      <c r="FU102" s="92"/>
      <c r="FV102" s="92"/>
      <c r="FW102" s="75"/>
      <c r="FX102" s="31"/>
      <c r="FY102" s="31"/>
      <c r="FZ102" s="31"/>
      <c r="GA102" s="31"/>
    </row>
    <row r="103">
      <c r="A103" s="31"/>
      <c r="B103" s="31"/>
      <c r="C103" s="31"/>
      <c r="D103" s="31"/>
      <c r="E103" s="31"/>
      <c r="F103" s="31"/>
      <c r="G103" s="208"/>
      <c r="H103" s="208"/>
      <c r="I103" s="208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4"/>
      <c r="CH103" s="74"/>
      <c r="CI103" s="74"/>
      <c r="CJ103" s="74"/>
      <c r="CK103" s="74"/>
      <c r="CL103" s="74"/>
      <c r="CM103" s="74"/>
      <c r="CN103" s="74"/>
      <c r="CO103" s="74"/>
      <c r="CP103" s="74"/>
      <c r="CQ103" s="74"/>
      <c r="CR103" s="74"/>
      <c r="CS103" s="74"/>
      <c r="CT103" s="74"/>
      <c r="CU103" s="74"/>
      <c r="CV103" s="74"/>
      <c r="CW103" s="74"/>
      <c r="CX103" s="74"/>
      <c r="CY103" s="74"/>
      <c r="CZ103" s="74"/>
      <c r="DA103" s="74"/>
      <c r="DB103" s="74"/>
      <c r="DC103" s="74"/>
      <c r="DD103" s="74"/>
      <c r="DE103" s="74"/>
      <c r="DF103" s="74"/>
      <c r="DG103" s="74"/>
      <c r="DH103" s="74"/>
      <c r="DI103" s="74"/>
      <c r="DJ103" s="74"/>
      <c r="DK103" s="74"/>
      <c r="DL103" s="74"/>
      <c r="DM103" s="74"/>
      <c r="DN103" s="74"/>
      <c r="DO103" s="74"/>
      <c r="DP103" s="74"/>
      <c r="DQ103" s="74"/>
      <c r="DR103" s="74"/>
      <c r="DS103" s="74"/>
      <c r="DT103" s="74"/>
      <c r="DU103" s="74"/>
      <c r="DV103" s="74"/>
      <c r="DW103" s="74"/>
      <c r="DX103" s="74"/>
      <c r="DY103" s="74"/>
      <c r="DZ103" s="75"/>
      <c r="EA103" s="92"/>
      <c r="EB103" s="92"/>
      <c r="EC103" s="92"/>
      <c r="ED103" s="92"/>
      <c r="EE103" s="92"/>
      <c r="EF103" s="92"/>
      <c r="EG103" s="92"/>
      <c r="EH103" s="92"/>
      <c r="EI103" s="92"/>
      <c r="EJ103" s="92"/>
      <c r="EK103" s="92"/>
      <c r="EL103" s="92"/>
      <c r="EM103" s="92"/>
      <c r="EN103" s="92"/>
      <c r="EO103" s="177"/>
      <c r="EP103" s="92"/>
      <c r="EQ103" s="92"/>
      <c r="ER103" s="92"/>
      <c r="ES103" s="92"/>
      <c r="ET103" s="92"/>
      <c r="EU103" s="92"/>
      <c r="EV103" s="92"/>
      <c r="EW103" s="92"/>
      <c r="EX103" s="92"/>
      <c r="EY103" s="92"/>
      <c r="EZ103" s="92"/>
      <c r="FA103" s="92"/>
      <c r="FB103" s="92"/>
      <c r="FC103" s="92"/>
      <c r="FD103" s="177"/>
      <c r="FE103" s="92"/>
      <c r="FF103" s="92"/>
      <c r="FG103" s="92"/>
      <c r="FH103" s="92"/>
      <c r="FI103" s="92"/>
      <c r="FJ103" s="92"/>
      <c r="FK103" s="92"/>
      <c r="FL103" s="92"/>
      <c r="FM103" s="92"/>
      <c r="FN103" s="92"/>
      <c r="FO103" s="92"/>
      <c r="FP103" s="92"/>
      <c r="FQ103" s="92"/>
      <c r="FR103" s="92"/>
      <c r="FS103" s="177"/>
      <c r="FT103" s="92"/>
      <c r="FU103" s="92"/>
      <c r="FV103" s="92"/>
      <c r="FW103" s="75"/>
      <c r="FX103" s="31"/>
      <c r="FY103" s="31"/>
      <c r="FZ103" s="31"/>
      <c r="GA103" s="31"/>
    </row>
    <row r="104">
      <c r="A104" s="31"/>
      <c r="B104" s="31"/>
      <c r="C104" s="31"/>
      <c r="D104" s="31"/>
      <c r="E104" s="31"/>
      <c r="F104" s="31"/>
      <c r="G104" s="208"/>
      <c r="H104" s="208"/>
      <c r="I104" s="208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  <c r="BU104" s="74"/>
      <c r="BV104" s="74"/>
      <c r="BW104" s="74"/>
      <c r="BX104" s="74"/>
      <c r="BY104" s="74"/>
      <c r="BZ104" s="74"/>
      <c r="CA104" s="74"/>
      <c r="CB104" s="74"/>
      <c r="CC104" s="74"/>
      <c r="CD104" s="74"/>
      <c r="CE104" s="74"/>
      <c r="CF104" s="74"/>
      <c r="CG104" s="74"/>
      <c r="CH104" s="74"/>
      <c r="CI104" s="74"/>
      <c r="CJ104" s="74"/>
      <c r="CK104" s="74"/>
      <c r="CL104" s="74"/>
      <c r="CM104" s="74"/>
      <c r="CN104" s="74"/>
      <c r="CO104" s="74"/>
      <c r="CP104" s="74"/>
      <c r="CQ104" s="74"/>
      <c r="CR104" s="74"/>
      <c r="CS104" s="74"/>
      <c r="CT104" s="74"/>
      <c r="CU104" s="74"/>
      <c r="CV104" s="74"/>
      <c r="CW104" s="74"/>
      <c r="CX104" s="74"/>
      <c r="CY104" s="74"/>
      <c r="CZ104" s="74"/>
      <c r="DA104" s="74"/>
      <c r="DB104" s="74"/>
      <c r="DC104" s="74"/>
      <c r="DD104" s="74"/>
      <c r="DE104" s="74"/>
      <c r="DF104" s="74"/>
      <c r="DG104" s="74"/>
      <c r="DH104" s="74"/>
      <c r="DI104" s="74"/>
      <c r="DJ104" s="74"/>
      <c r="DK104" s="74"/>
      <c r="DL104" s="74"/>
      <c r="DM104" s="74"/>
      <c r="DN104" s="74"/>
      <c r="DO104" s="74"/>
      <c r="DP104" s="74"/>
      <c r="DQ104" s="74"/>
      <c r="DR104" s="74"/>
      <c r="DS104" s="74"/>
      <c r="DT104" s="74"/>
      <c r="DU104" s="74"/>
      <c r="DV104" s="74"/>
      <c r="DW104" s="74"/>
      <c r="DX104" s="74"/>
      <c r="DY104" s="74"/>
      <c r="DZ104" s="75"/>
      <c r="EA104" s="92"/>
      <c r="EB104" s="92"/>
      <c r="EC104" s="92"/>
      <c r="ED104" s="92"/>
      <c r="EE104" s="92"/>
      <c r="EF104" s="92"/>
      <c r="EG104" s="92"/>
      <c r="EH104" s="92"/>
      <c r="EI104" s="92"/>
      <c r="EJ104" s="92"/>
      <c r="EK104" s="92"/>
      <c r="EL104" s="92"/>
      <c r="EM104" s="92"/>
      <c r="EN104" s="92"/>
      <c r="EO104" s="177"/>
      <c r="EP104" s="92"/>
      <c r="EQ104" s="92"/>
      <c r="ER104" s="92"/>
      <c r="ES104" s="92"/>
      <c r="ET104" s="92"/>
      <c r="EU104" s="92"/>
      <c r="EV104" s="92"/>
      <c r="EW104" s="92"/>
      <c r="EX104" s="92"/>
      <c r="EY104" s="92"/>
      <c r="EZ104" s="92"/>
      <c r="FA104" s="92"/>
      <c r="FB104" s="92"/>
      <c r="FC104" s="92"/>
      <c r="FD104" s="177"/>
      <c r="FE104" s="92"/>
      <c r="FF104" s="92"/>
      <c r="FG104" s="92"/>
      <c r="FH104" s="92"/>
      <c r="FI104" s="92"/>
      <c r="FJ104" s="92"/>
      <c r="FK104" s="92"/>
      <c r="FL104" s="92"/>
      <c r="FM104" s="92"/>
      <c r="FN104" s="92"/>
      <c r="FO104" s="92"/>
      <c r="FP104" s="92"/>
      <c r="FQ104" s="92"/>
      <c r="FR104" s="92"/>
      <c r="FS104" s="177"/>
      <c r="FT104" s="92"/>
      <c r="FU104" s="92"/>
      <c r="FV104" s="92"/>
      <c r="FW104" s="75"/>
      <c r="FX104" s="31"/>
      <c r="FY104" s="31"/>
      <c r="FZ104" s="31"/>
      <c r="GA104" s="31"/>
    </row>
    <row r="105">
      <c r="A105" s="31"/>
      <c r="B105" s="31"/>
      <c r="C105" s="31"/>
      <c r="D105" s="31"/>
      <c r="E105" s="31"/>
      <c r="F105" s="31"/>
      <c r="G105" s="208"/>
      <c r="H105" s="208"/>
      <c r="I105" s="208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74"/>
      <c r="CR105" s="74"/>
      <c r="CS105" s="74"/>
      <c r="CT105" s="74"/>
      <c r="CU105" s="74"/>
      <c r="CV105" s="74"/>
      <c r="CW105" s="74"/>
      <c r="CX105" s="74"/>
      <c r="CY105" s="74"/>
      <c r="CZ105" s="74"/>
      <c r="DA105" s="74"/>
      <c r="DB105" s="74"/>
      <c r="DC105" s="74"/>
      <c r="DD105" s="74"/>
      <c r="DE105" s="74"/>
      <c r="DF105" s="74"/>
      <c r="DG105" s="74"/>
      <c r="DH105" s="74"/>
      <c r="DI105" s="74"/>
      <c r="DJ105" s="74"/>
      <c r="DK105" s="74"/>
      <c r="DL105" s="74"/>
      <c r="DM105" s="74"/>
      <c r="DN105" s="74"/>
      <c r="DO105" s="74"/>
      <c r="DP105" s="74"/>
      <c r="DQ105" s="74"/>
      <c r="DR105" s="74"/>
      <c r="DS105" s="74"/>
      <c r="DT105" s="74"/>
      <c r="DU105" s="74"/>
      <c r="DV105" s="74"/>
      <c r="DW105" s="74"/>
      <c r="DX105" s="74"/>
      <c r="DY105" s="74"/>
      <c r="DZ105" s="75"/>
      <c r="EA105" s="92"/>
      <c r="EB105" s="92"/>
      <c r="EC105" s="92"/>
      <c r="ED105" s="92"/>
      <c r="EE105" s="92"/>
      <c r="EF105" s="92"/>
      <c r="EG105" s="92"/>
      <c r="EH105" s="92"/>
      <c r="EI105" s="92"/>
      <c r="EJ105" s="92"/>
      <c r="EK105" s="92"/>
      <c r="EL105" s="92"/>
      <c r="EM105" s="92"/>
      <c r="EN105" s="92"/>
      <c r="EO105" s="177"/>
      <c r="EP105" s="92"/>
      <c r="EQ105" s="92"/>
      <c r="ER105" s="92"/>
      <c r="ES105" s="92"/>
      <c r="ET105" s="92"/>
      <c r="EU105" s="92"/>
      <c r="EV105" s="92"/>
      <c r="EW105" s="92"/>
      <c r="EX105" s="92"/>
      <c r="EY105" s="92"/>
      <c r="EZ105" s="92"/>
      <c r="FA105" s="92"/>
      <c r="FB105" s="92"/>
      <c r="FC105" s="92"/>
      <c r="FD105" s="177"/>
      <c r="FE105" s="92"/>
      <c r="FF105" s="92"/>
      <c r="FG105" s="92"/>
      <c r="FH105" s="92"/>
      <c r="FI105" s="92"/>
      <c r="FJ105" s="92"/>
      <c r="FK105" s="92"/>
      <c r="FL105" s="92"/>
      <c r="FM105" s="92"/>
      <c r="FN105" s="92"/>
      <c r="FO105" s="92"/>
      <c r="FP105" s="92"/>
      <c r="FQ105" s="92"/>
      <c r="FR105" s="92"/>
      <c r="FS105" s="177"/>
      <c r="FT105" s="92"/>
      <c r="FU105" s="92"/>
      <c r="FV105" s="92"/>
      <c r="FW105" s="75"/>
      <c r="FX105" s="31"/>
      <c r="FY105" s="31"/>
      <c r="FZ105" s="31"/>
      <c r="GA105" s="31"/>
    </row>
    <row r="106">
      <c r="A106" s="31"/>
      <c r="B106" s="31"/>
      <c r="C106" s="31"/>
      <c r="D106" s="31"/>
      <c r="E106" s="31"/>
      <c r="F106" s="31"/>
      <c r="G106" s="208"/>
      <c r="H106" s="208"/>
      <c r="I106" s="208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4"/>
      <c r="CH106" s="74"/>
      <c r="CI106" s="74"/>
      <c r="CJ106" s="74"/>
      <c r="CK106" s="74"/>
      <c r="CL106" s="74"/>
      <c r="CM106" s="74"/>
      <c r="CN106" s="74"/>
      <c r="CO106" s="74"/>
      <c r="CP106" s="74"/>
      <c r="CQ106" s="74"/>
      <c r="CR106" s="74"/>
      <c r="CS106" s="74"/>
      <c r="CT106" s="74"/>
      <c r="CU106" s="74"/>
      <c r="CV106" s="74"/>
      <c r="CW106" s="74"/>
      <c r="CX106" s="74"/>
      <c r="CY106" s="74"/>
      <c r="CZ106" s="74"/>
      <c r="DA106" s="74"/>
      <c r="DB106" s="74"/>
      <c r="DC106" s="74"/>
      <c r="DD106" s="74"/>
      <c r="DE106" s="74"/>
      <c r="DF106" s="74"/>
      <c r="DG106" s="74"/>
      <c r="DH106" s="74"/>
      <c r="DI106" s="74"/>
      <c r="DJ106" s="74"/>
      <c r="DK106" s="74"/>
      <c r="DL106" s="74"/>
      <c r="DM106" s="74"/>
      <c r="DN106" s="74"/>
      <c r="DO106" s="74"/>
      <c r="DP106" s="74"/>
      <c r="DQ106" s="74"/>
      <c r="DR106" s="74"/>
      <c r="DS106" s="74"/>
      <c r="DT106" s="74"/>
      <c r="DU106" s="74"/>
      <c r="DV106" s="74"/>
      <c r="DW106" s="74"/>
      <c r="DX106" s="74"/>
      <c r="DY106" s="74"/>
      <c r="DZ106" s="75"/>
      <c r="EA106" s="92"/>
      <c r="EB106" s="92"/>
      <c r="EC106" s="92"/>
      <c r="ED106" s="92"/>
      <c r="EE106" s="92"/>
      <c r="EF106" s="92"/>
      <c r="EG106" s="92"/>
      <c r="EH106" s="92"/>
      <c r="EI106" s="92"/>
      <c r="EJ106" s="92"/>
      <c r="EK106" s="92"/>
      <c r="EL106" s="92"/>
      <c r="EM106" s="92"/>
      <c r="EN106" s="92"/>
      <c r="EO106" s="177"/>
      <c r="EP106" s="92"/>
      <c r="EQ106" s="92"/>
      <c r="ER106" s="92"/>
      <c r="ES106" s="92"/>
      <c r="ET106" s="92"/>
      <c r="EU106" s="92"/>
      <c r="EV106" s="92"/>
      <c r="EW106" s="92"/>
      <c r="EX106" s="92"/>
      <c r="EY106" s="92"/>
      <c r="EZ106" s="92"/>
      <c r="FA106" s="92"/>
      <c r="FB106" s="92"/>
      <c r="FC106" s="92"/>
      <c r="FD106" s="177"/>
      <c r="FE106" s="92"/>
      <c r="FF106" s="92"/>
      <c r="FG106" s="92"/>
      <c r="FH106" s="92"/>
      <c r="FI106" s="92"/>
      <c r="FJ106" s="92"/>
      <c r="FK106" s="92"/>
      <c r="FL106" s="92"/>
      <c r="FM106" s="92"/>
      <c r="FN106" s="92"/>
      <c r="FO106" s="92"/>
      <c r="FP106" s="92"/>
      <c r="FQ106" s="92"/>
      <c r="FR106" s="92"/>
      <c r="FS106" s="177"/>
      <c r="FT106" s="92"/>
      <c r="FU106" s="92"/>
      <c r="FV106" s="92"/>
      <c r="FW106" s="75"/>
      <c r="FX106" s="31"/>
      <c r="FY106" s="31"/>
      <c r="FZ106" s="31"/>
      <c r="GA106" s="31"/>
    </row>
    <row r="107">
      <c r="A107" s="31"/>
      <c r="B107" s="31"/>
      <c r="C107" s="31"/>
      <c r="D107" s="31"/>
      <c r="E107" s="31"/>
      <c r="F107" s="31"/>
      <c r="G107" s="208"/>
      <c r="H107" s="208"/>
      <c r="I107" s="208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4"/>
      <c r="CH107" s="74"/>
      <c r="CI107" s="74"/>
      <c r="CJ107" s="74"/>
      <c r="CK107" s="74"/>
      <c r="CL107" s="74"/>
      <c r="CM107" s="74"/>
      <c r="CN107" s="74"/>
      <c r="CO107" s="74"/>
      <c r="CP107" s="74"/>
      <c r="CQ107" s="74"/>
      <c r="CR107" s="74"/>
      <c r="CS107" s="74"/>
      <c r="CT107" s="74"/>
      <c r="CU107" s="74"/>
      <c r="CV107" s="74"/>
      <c r="CW107" s="74"/>
      <c r="CX107" s="74"/>
      <c r="CY107" s="74"/>
      <c r="CZ107" s="74"/>
      <c r="DA107" s="74"/>
      <c r="DB107" s="74"/>
      <c r="DC107" s="74"/>
      <c r="DD107" s="74"/>
      <c r="DE107" s="74"/>
      <c r="DF107" s="74"/>
      <c r="DG107" s="74"/>
      <c r="DH107" s="74"/>
      <c r="DI107" s="74"/>
      <c r="DJ107" s="74"/>
      <c r="DK107" s="74"/>
      <c r="DL107" s="74"/>
      <c r="DM107" s="74"/>
      <c r="DN107" s="74"/>
      <c r="DO107" s="74"/>
      <c r="DP107" s="74"/>
      <c r="DQ107" s="74"/>
      <c r="DR107" s="74"/>
      <c r="DS107" s="74"/>
      <c r="DT107" s="74"/>
      <c r="DU107" s="74"/>
      <c r="DV107" s="74"/>
      <c r="DW107" s="74"/>
      <c r="DX107" s="74"/>
      <c r="DY107" s="74"/>
      <c r="DZ107" s="75"/>
      <c r="EA107" s="92"/>
      <c r="EB107" s="92"/>
      <c r="EC107" s="92"/>
      <c r="ED107" s="92"/>
      <c r="EE107" s="92"/>
      <c r="EF107" s="92"/>
      <c r="EG107" s="92"/>
      <c r="EH107" s="92"/>
      <c r="EI107" s="92"/>
      <c r="EJ107" s="92"/>
      <c r="EK107" s="92"/>
      <c r="EL107" s="92"/>
      <c r="EM107" s="92"/>
      <c r="EN107" s="92"/>
      <c r="EO107" s="177"/>
      <c r="EP107" s="92"/>
      <c r="EQ107" s="92"/>
      <c r="ER107" s="92"/>
      <c r="ES107" s="92"/>
      <c r="ET107" s="92"/>
      <c r="EU107" s="92"/>
      <c r="EV107" s="92"/>
      <c r="EW107" s="92"/>
      <c r="EX107" s="92"/>
      <c r="EY107" s="92"/>
      <c r="EZ107" s="92"/>
      <c r="FA107" s="92"/>
      <c r="FB107" s="92"/>
      <c r="FC107" s="92"/>
      <c r="FD107" s="177"/>
      <c r="FE107" s="92"/>
      <c r="FF107" s="92"/>
      <c r="FG107" s="92"/>
      <c r="FH107" s="92"/>
      <c r="FI107" s="92"/>
      <c r="FJ107" s="92"/>
      <c r="FK107" s="92"/>
      <c r="FL107" s="92"/>
      <c r="FM107" s="92"/>
      <c r="FN107" s="92"/>
      <c r="FO107" s="92"/>
      <c r="FP107" s="92"/>
      <c r="FQ107" s="92"/>
      <c r="FR107" s="92"/>
      <c r="FS107" s="177"/>
      <c r="FT107" s="92"/>
      <c r="FU107" s="92"/>
      <c r="FV107" s="92"/>
      <c r="FW107" s="75"/>
      <c r="FX107" s="31"/>
      <c r="FY107" s="31"/>
      <c r="FZ107" s="31"/>
      <c r="GA107" s="31"/>
    </row>
    <row r="108">
      <c r="A108" s="31"/>
      <c r="B108" s="31"/>
      <c r="C108" s="31"/>
      <c r="D108" s="31"/>
      <c r="E108" s="31"/>
      <c r="F108" s="31"/>
      <c r="G108" s="208"/>
      <c r="H108" s="208"/>
      <c r="I108" s="208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4"/>
      <c r="CH108" s="74"/>
      <c r="CI108" s="74"/>
      <c r="CJ108" s="74"/>
      <c r="CK108" s="74"/>
      <c r="CL108" s="74"/>
      <c r="CM108" s="74"/>
      <c r="CN108" s="74"/>
      <c r="CO108" s="74"/>
      <c r="CP108" s="74"/>
      <c r="CQ108" s="74"/>
      <c r="CR108" s="74"/>
      <c r="CS108" s="74"/>
      <c r="CT108" s="74"/>
      <c r="CU108" s="74"/>
      <c r="CV108" s="74"/>
      <c r="CW108" s="74"/>
      <c r="CX108" s="74"/>
      <c r="CY108" s="74"/>
      <c r="CZ108" s="74"/>
      <c r="DA108" s="74"/>
      <c r="DB108" s="74"/>
      <c r="DC108" s="74"/>
      <c r="DD108" s="74"/>
      <c r="DE108" s="74"/>
      <c r="DF108" s="74"/>
      <c r="DG108" s="74"/>
      <c r="DH108" s="74"/>
      <c r="DI108" s="74"/>
      <c r="DJ108" s="74"/>
      <c r="DK108" s="74"/>
      <c r="DL108" s="74"/>
      <c r="DM108" s="74"/>
      <c r="DN108" s="74"/>
      <c r="DO108" s="74"/>
      <c r="DP108" s="74"/>
      <c r="DQ108" s="74"/>
      <c r="DR108" s="74"/>
      <c r="DS108" s="74"/>
      <c r="DT108" s="74"/>
      <c r="DU108" s="74"/>
      <c r="DV108" s="74"/>
      <c r="DW108" s="74"/>
      <c r="DX108" s="74"/>
      <c r="DY108" s="74"/>
      <c r="DZ108" s="75"/>
      <c r="EA108" s="92"/>
      <c r="EB108" s="92"/>
      <c r="EC108" s="92"/>
      <c r="ED108" s="92"/>
      <c r="EE108" s="92"/>
      <c r="EF108" s="92"/>
      <c r="EG108" s="92"/>
      <c r="EH108" s="92"/>
      <c r="EI108" s="92"/>
      <c r="EJ108" s="92"/>
      <c r="EK108" s="92"/>
      <c r="EL108" s="92"/>
      <c r="EM108" s="92"/>
      <c r="EN108" s="92"/>
      <c r="EO108" s="177"/>
      <c r="EP108" s="92"/>
      <c r="EQ108" s="92"/>
      <c r="ER108" s="92"/>
      <c r="ES108" s="92"/>
      <c r="ET108" s="92"/>
      <c r="EU108" s="92"/>
      <c r="EV108" s="92"/>
      <c r="EW108" s="92"/>
      <c r="EX108" s="92"/>
      <c r="EY108" s="92"/>
      <c r="EZ108" s="92"/>
      <c r="FA108" s="92"/>
      <c r="FB108" s="92"/>
      <c r="FC108" s="92"/>
      <c r="FD108" s="177"/>
      <c r="FE108" s="92"/>
      <c r="FF108" s="92"/>
      <c r="FG108" s="92"/>
      <c r="FH108" s="92"/>
      <c r="FI108" s="92"/>
      <c r="FJ108" s="92"/>
      <c r="FK108" s="92"/>
      <c r="FL108" s="92"/>
      <c r="FM108" s="92"/>
      <c r="FN108" s="92"/>
      <c r="FO108" s="92"/>
      <c r="FP108" s="92"/>
      <c r="FQ108" s="92"/>
      <c r="FR108" s="92"/>
      <c r="FS108" s="177"/>
      <c r="FT108" s="92"/>
      <c r="FU108" s="92"/>
      <c r="FV108" s="92"/>
      <c r="FW108" s="75"/>
      <c r="FX108" s="31"/>
      <c r="FY108" s="31"/>
      <c r="FZ108" s="31"/>
      <c r="GA108" s="31"/>
    </row>
    <row r="109">
      <c r="A109" s="31"/>
      <c r="B109" s="31"/>
      <c r="C109" s="31"/>
      <c r="D109" s="31"/>
      <c r="E109" s="31"/>
      <c r="F109" s="31"/>
      <c r="G109" s="208"/>
      <c r="H109" s="208"/>
      <c r="I109" s="208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U109" s="74"/>
      <c r="BV109" s="74"/>
      <c r="BW109" s="74"/>
      <c r="BX109" s="74"/>
      <c r="BY109" s="74"/>
      <c r="BZ109" s="74"/>
      <c r="CA109" s="74"/>
      <c r="CB109" s="74"/>
      <c r="CC109" s="74"/>
      <c r="CD109" s="74"/>
      <c r="CE109" s="74"/>
      <c r="CF109" s="74"/>
      <c r="CG109" s="74"/>
      <c r="CH109" s="74"/>
      <c r="CI109" s="74"/>
      <c r="CJ109" s="74"/>
      <c r="CK109" s="74"/>
      <c r="CL109" s="74"/>
      <c r="CM109" s="74"/>
      <c r="CN109" s="74"/>
      <c r="CO109" s="74"/>
      <c r="CP109" s="74"/>
      <c r="CQ109" s="74"/>
      <c r="CR109" s="74"/>
      <c r="CS109" s="74"/>
      <c r="CT109" s="74"/>
      <c r="CU109" s="74"/>
      <c r="CV109" s="74"/>
      <c r="CW109" s="74"/>
      <c r="CX109" s="74"/>
      <c r="CY109" s="74"/>
      <c r="CZ109" s="74"/>
      <c r="DA109" s="74"/>
      <c r="DB109" s="74"/>
      <c r="DC109" s="74"/>
      <c r="DD109" s="74"/>
      <c r="DE109" s="74"/>
      <c r="DF109" s="74"/>
      <c r="DG109" s="74"/>
      <c r="DH109" s="74"/>
      <c r="DI109" s="74"/>
      <c r="DJ109" s="74"/>
      <c r="DK109" s="74"/>
      <c r="DL109" s="74"/>
      <c r="DM109" s="74"/>
      <c r="DN109" s="74"/>
      <c r="DO109" s="74"/>
      <c r="DP109" s="74"/>
      <c r="DQ109" s="74"/>
      <c r="DR109" s="74"/>
      <c r="DS109" s="74"/>
      <c r="DT109" s="74"/>
      <c r="DU109" s="74"/>
      <c r="DV109" s="74"/>
      <c r="DW109" s="74"/>
      <c r="DX109" s="74"/>
      <c r="DY109" s="74"/>
      <c r="DZ109" s="75"/>
      <c r="EA109" s="92"/>
      <c r="EB109" s="92"/>
      <c r="EC109" s="92"/>
      <c r="ED109" s="92"/>
      <c r="EE109" s="92"/>
      <c r="EF109" s="92"/>
      <c r="EG109" s="92"/>
      <c r="EH109" s="92"/>
      <c r="EI109" s="92"/>
      <c r="EJ109" s="92"/>
      <c r="EK109" s="92"/>
      <c r="EL109" s="92"/>
      <c r="EM109" s="92"/>
      <c r="EN109" s="92"/>
      <c r="EO109" s="177"/>
      <c r="EP109" s="92"/>
      <c r="EQ109" s="92"/>
      <c r="ER109" s="92"/>
      <c r="ES109" s="92"/>
      <c r="ET109" s="92"/>
      <c r="EU109" s="92"/>
      <c r="EV109" s="92"/>
      <c r="EW109" s="92"/>
      <c r="EX109" s="92"/>
      <c r="EY109" s="92"/>
      <c r="EZ109" s="92"/>
      <c r="FA109" s="92"/>
      <c r="FB109" s="92"/>
      <c r="FC109" s="92"/>
      <c r="FD109" s="177"/>
      <c r="FE109" s="92"/>
      <c r="FF109" s="92"/>
      <c r="FG109" s="92"/>
      <c r="FH109" s="92"/>
      <c r="FI109" s="92"/>
      <c r="FJ109" s="92"/>
      <c r="FK109" s="92"/>
      <c r="FL109" s="92"/>
      <c r="FM109" s="92"/>
      <c r="FN109" s="92"/>
      <c r="FO109" s="92"/>
      <c r="FP109" s="92"/>
      <c r="FQ109" s="92"/>
      <c r="FR109" s="92"/>
      <c r="FS109" s="177"/>
      <c r="FT109" s="92"/>
      <c r="FU109" s="92"/>
      <c r="FV109" s="92"/>
      <c r="FW109" s="75"/>
      <c r="FX109" s="31"/>
      <c r="FY109" s="31"/>
      <c r="FZ109" s="31"/>
      <c r="GA109" s="31"/>
    </row>
    <row r="110">
      <c r="A110" s="31"/>
      <c r="B110" s="31"/>
      <c r="C110" s="31"/>
      <c r="D110" s="31"/>
      <c r="E110" s="31"/>
      <c r="F110" s="31"/>
      <c r="G110" s="208"/>
      <c r="H110" s="208"/>
      <c r="I110" s="208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74"/>
      <c r="CP110" s="74"/>
      <c r="CQ110" s="74"/>
      <c r="CR110" s="74"/>
      <c r="CS110" s="74"/>
      <c r="CT110" s="74"/>
      <c r="CU110" s="74"/>
      <c r="CV110" s="74"/>
      <c r="CW110" s="74"/>
      <c r="CX110" s="74"/>
      <c r="CY110" s="74"/>
      <c r="CZ110" s="74"/>
      <c r="DA110" s="74"/>
      <c r="DB110" s="74"/>
      <c r="DC110" s="74"/>
      <c r="DD110" s="74"/>
      <c r="DE110" s="74"/>
      <c r="DF110" s="74"/>
      <c r="DG110" s="74"/>
      <c r="DH110" s="74"/>
      <c r="DI110" s="74"/>
      <c r="DJ110" s="74"/>
      <c r="DK110" s="74"/>
      <c r="DL110" s="74"/>
      <c r="DM110" s="74"/>
      <c r="DN110" s="74"/>
      <c r="DO110" s="74"/>
      <c r="DP110" s="74"/>
      <c r="DQ110" s="74"/>
      <c r="DR110" s="74"/>
      <c r="DS110" s="74"/>
      <c r="DT110" s="74"/>
      <c r="DU110" s="74"/>
      <c r="DV110" s="74"/>
      <c r="DW110" s="74"/>
      <c r="DX110" s="74"/>
      <c r="DY110" s="74"/>
      <c r="DZ110" s="75"/>
      <c r="EA110" s="92"/>
      <c r="EB110" s="92"/>
      <c r="EC110" s="92"/>
      <c r="ED110" s="92"/>
      <c r="EE110" s="92"/>
      <c r="EF110" s="92"/>
      <c r="EG110" s="92"/>
      <c r="EH110" s="92"/>
      <c r="EI110" s="92"/>
      <c r="EJ110" s="92"/>
      <c r="EK110" s="92"/>
      <c r="EL110" s="92"/>
      <c r="EM110" s="92"/>
      <c r="EN110" s="92"/>
      <c r="EO110" s="177"/>
      <c r="EP110" s="92"/>
      <c r="EQ110" s="92"/>
      <c r="ER110" s="92"/>
      <c r="ES110" s="92"/>
      <c r="ET110" s="92"/>
      <c r="EU110" s="92"/>
      <c r="EV110" s="92"/>
      <c r="EW110" s="92"/>
      <c r="EX110" s="92"/>
      <c r="EY110" s="92"/>
      <c r="EZ110" s="92"/>
      <c r="FA110" s="92"/>
      <c r="FB110" s="92"/>
      <c r="FC110" s="92"/>
      <c r="FD110" s="177"/>
      <c r="FE110" s="92"/>
      <c r="FF110" s="92"/>
      <c r="FG110" s="92"/>
      <c r="FH110" s="92"/>
      <c r="FI110" s="92"/>
      <c r="FJ110" s="92"/>
      <c r="FK110" s="92"/>
      <c r="FL110" s="92"/>
      <c r="FM110" s="92"/>
      <c r="FN110" s="92"/>
      <c r="FO110" s="92"/>
      <c r="FP110" s="92"/>
      <c r="FQ110" s="92"/>
      <c r="FR110" s="92"/>
      <c r="FS110" s="177"/>
      <c r="FT110" s="92"/>
      <c r="FU110" s="92"/>
      <c r="FV110" s="92"/>
      <c r="FW110" s="75"/>
      <c r="FX110" s="31"/>
      <c r="FY110" s="31"/>
      <c r="FZ110" s="31"/>
      <c r="GA110" s="31"/>
    </row>
    <row r="111">
      <c r="A111" s="31"/>
      <c r="B111" s="31"/>
      <c r="C111" s="31"/>
      <c r="D111" s="31"/>
      <c r="E111" s="31"/>
      <c r="F111" s="31"/>
      <c r="G111" s="208"/>
      <c r="H111" s="208"/>
      <c r="I111" s="208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4"/>
      <c r="CH111" s="74"/>
      <c r="CI111" s="74"/>
      <c r="CJ111" s="74"/>
      <c r="CK111" s="74"/>
      <c r="CL111" s="74"/>
      <c r="CM111" s="74"/>
      <c r="CN111" s="74"/>
      <c r="CO111" s="74"/>
      <c r="CP111" s="74"/>
      <c r="CQ111" s="74"/>
      <c r="CR111" s="74"/>
      <c r="CS111" s="74"/>
      <c r="CT111" s="74"/>
      <c r="CU111" s="74"/>
      <c r="CV111" s="74"/>
      <c r="CW111" s="74"/>
      <c r="CX111" s="74"/>
      <c r="CY111" s="74"/>
      <c r="CZ111" s="74"/>
      <c r="DA111" s="74"/>
      <c r="DB111" s="74"/>
      <c r="DC111" s="74"/>
      <c r="DD111" s="74"/>
      <c r="DE111" s="74"/>
      <c r="DF111" s="74"/>
      <c r="DG111" s="74"/>
      <c r="DH111" s="74"/>
      <c r="DI111" s="74"/>
      <c r="DJ111" s="74"/>
      <c r="DK111" s="74"/>
      <c r="DL111" s="74"/>
      <c r="DM111" s="74"/>
      <c r="DN111" s="74"/>
      <c r="DO111" s="74"/>
      <c r="DP111" s="74"/>
      <c r="DQ111" s="74"/>
      <c r="DR111" s="74"/>
      <c r="DS111" s="74"/>
      <c r="DT111" s="74"/>
      <c r="DU111" s="74"/>
      <c r="DV111" s="74"/>
      <c r="DW111" s="74"/>
      <c r="DX111" s="74"/>
      <c r="DY111" s="74"/>
      <c r="DZ111" s="75"/>
      <c r="EA111" s="92"/>
      <c r="EB111" s="92"/>
      <c r="EC111" s="92"/>
      <c r="ED111" s="92"/>
      <c r="EE111" s="92"/>
      <c r="EF111" s="92"/>
      <c r="EG111" s="92"/>
      <c r="EH111" s="92"/>
      <c r="EI111" s="92"/>
      <c r="EJ111" s="92"/>
      <c r="EK111" s="92"/>
      <c r="EL111" s="92"/>
      <c r="EM111" s="92"/>
      <c r="EN111" s="92"/>
      <c r="EO111" s="177"/>
      <c r="EP111" s="92"/>
      <c r="EQ111" s="92"/>
      <c r="ER111" s="92"/>
      <c r="ES111" s="92"/>
      <c r="ET111" s="92"/>
      <c r="EU111" s="92"/>
      <c r="EV111" s="92"/>
      <c r="EW111" s="92"/>
      <c r="EX111" s="92"/>
      <c r="EY111" s="92"/>
      <c r="EZ111" s="92"/>
      <c r="FA111" s="92"/>
      <c r="FB111" s="92"/>
      <c r="FC111" s="92"/>
      <c r="FD111" s="177"/>
      <c r="FE111" s="92"/>
      <c r="FF111" s="92"/>
      <c r="FG111" s="92"/>
      <c r="FH111" s="92"/>
      <c r="FI111" s="92"/>
      <c r="FJ111" s="92"/>
      <c r="FK111" s="92"/>
      <c r="FL111" s="92"/>
      <c r="FM111" s="92"/>
      <c r="FN111" s="92"/>
      <c r="FO111" s="92"/>
      <c r="FP111" s="92"/>
      <c r="FQ111" s="92"/>
      <c r="FR111" s="92"/>
      <c r="FS111" s="177"/>
      <c r="FT111" s="92"/>
      <c r="FU111" s="92"/>
      <c r="FV111" s="92"/>
      <c r="FW111" s="75"/>
      <c r="FX111" s="31"/>
      <c r="FY111" s="31"/>
      <c r="FZ111" s="31"/>
      <c r="GA111" s="31"/>
    </row>
    <row r="112">
      <c r="A112" s="31"/>
      <c r="B112" s="31"/>
      <c r="C112" s="31"/>
      <c r="D112" s="31"/>
      <c r="E112" s="31"/>
      <c r="F112" s="31"/>
      <c r="G112" s="208"/>
      <c r="H112" s="208"/>
      <c r="I112" s="208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4"/>
      <c r="CH112" s="74"/>
      <c r="CI112" s="74"/>
      <c r="CJ112" s="74"/>
      <c r="CK112" s="74"/>
      <c r="CL112" s="74"/>
      <c r="CM112" s="74"/>
      <c r="CN112" s="74"/>
      <c r="CO112" s="74"/>
      <c r="CP112" s="74"/>
      <c r="CQ112" s="74"/>
      <c r="CR112" s="74"/>
      <c r="CS112" s="74"/>
      <c r="CT112" s="74"/>
      <c r="CU112" s="74"/>
      <c r="CV112" s="74"/>
      <c r="CW112" s="74"/>
      <c r="CX112" s="74"/>
      <c r="CY112" s="74"/>
      <c r="CZ112" s="74"/>
      <c r="DA112" s="74"/>
      <c r="DB112" s="74"/>
      <c r="DC112" s="74"/>
      <c r="DD112" s="74"/>
      <c r="DE112" s="74"/>
      <c r="DF112" s="74"/>
      <c r="DG112" s="74"/>
      <c r="DH112" s="74"/>
      <c r="DI112" s="74"/>
      <c r="DJ112" s="74"/>
      <c r="DK112" s="74"/>
      <c r="DL112" s="74"/>
      <c r="DM112" s="74"/>
      <c r="DN112" s="74"/>
      <c r="DO112" s="74"/>
      <c r="DP112" s="74"/>
      <c r="DQ112" s="74"/>
      <c r="DR112" s="74"/>
      <c r="DS112" s="74"/>
      <c r="DT112" s="74"/>
      <c r="DU112" s="74"/>
      <c r="DV112" s="74"/>
      <c r="DW112" s="74"/>
      <c r="DX112" s="74"/>
      <c r="DY112" s="74"/>
      <c r="DZ112" s="75"/>
      <c r="EA112" s="92"/>
      <c r="EB112" s="92"/>
      <c r="EC112" s="92"/>
      <c r="ED112" s="92"/>
      <c r="EE112" s="92"/>
      <c r="EF112" s="92"/>
      <c r="EG112" s="92"/>
      <c r="EH112" s="92"/>
      <c r="EI112" s="92"/>
      <c r="EJ112" s="92"/>
      <c r="EK112" s="92"/>
      <c r="EL112" s="92"/>
      <c r="EM112" s="92"/>
      <c r="EN112" s="92"/>
      <c r="EO112" s="177"/>
      <c r="EP112" s="92"/>
      <c r="EQ112" s="92"/>
      <c r="ER112" s="92"/>
      <c r="ES112" s="92"/>
      <c r="ET112" s="92"/>
      <c r="EU112" s="92"/>
      <c r="EV112" s="92"/>
      <c r="EW112" s="92"/>
      <c r="EX112" s="92"/>
      <c r="EY112" s="92"/>
      <c r="EZ112" s="92"/>
      <c r="FA112" s="92"/>
      <c r="FB112" s="92"/>
      <c r="FC112" s="92"/>
      <c r="FD112" s="177"/>
      <c r="FE112" s="92"/>
      <c r="FF112" s="92"/>
      <c r="FG112" s="92"/>
      <c r="FH112" s="92"/>
      <c r="FI112" s="92"/>
      <c r="FJ112" s="92"/>
      <c r="FK112" s="92"/>
      <c r="FL112" s="92"/>
      <c r="FM112" s="92"/>
      <c r="FN112" s="92"/>
      <c r="FO112" s="92"/>
      <c r="FP112" s="92"/>
      <c r="FQ112" s="92"/>
      <c r="FR112" s="92"/>
      <c r="FS112" s="177"/>
      <c r="FT112" s="92"/>
      <c r="FU112" s="92"/>
      <c r="FV112" s="92"/>
      <c r="FW112" s="75"/>
      <c r="FX112" s="31"/>
      <c r="FY112" s="31"/>
      <c r="FZ112" s="31"/>
      <c r="GA112" s="31"/>
    </row>
    <row r="113">
      <c r="A113" s="31"/>
      <c r="B113" s="31"/>
      <c r="C113" s="31"/>
      <c r="D113" s="31"/>
      <c r="E113" s="31"/>
      <c r="F113" s="31"/>
      <c r="G113" s="208"/>
      <c r="H113" s="208"/>
      <c r="I113" s="208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CX113" s="74"/>
      <c r="CY113" s="74"/>
      <c r="CZ113" s="74"/>
      <c r="DA113" s="74"/>
      <c r="DB113" s="74"/>
      <c r="DC113" s="74"/>
      <c r="DD113" s="74"/>
      <c r="DE113" s="74"/>
      <c r="DF113" s="74"/>
      <c r="DG113" s="74"/>
      <c r="DH113" s="74"/>
      <c r="DI113" s="74"/>
      <c r="DJ113" s="74"/>
      <c r="DK113" s="74"/>
      <c r="DL113" s="74"/>
      <c r="DM113" s="74"/>
      <c r="DN113" s="74"/>
      <c r="DO113" s="74"/>
      <c r="DP113" s="74"/>
      <c r="DQ113" s="74"/>
      <c r="DR113" s="74"/>
      <c r="DS113" s="74"/>
      <c r="DT113" s="74"/>
      <c r="DU113" s="74"/>
      <c r="DV113" s="74"/>
      <c r="DW113" s="74"/>
      <c r="DX113" s="74"/>
      <c r="DY113" s="74"/>
      <c r="DZ113" s="75"/>
      <c r="EA113" s="92"/>
      <c r="EB113" s="92"/>
      <c r="EC113" s="92"/>
      <c r="ED113" s="92"/>
      <c r="EE113" s="92"/>
      <c r="EF113" s="92"/>
      <c r="EG113" s="92"/>
      <c r="EH113" s="92"/>
      <c r="EI113" s="92"/>
      <c r="EJ113" s="92"/>
      <c r="EK113" s="92"/>
      <c r="EL113" s="92"/>
      <c r="EM113" s="92"/>
      <c r="EN113" s="92"/>
      <c r="EO113" s="177"/>
      <c r="EP113" s="92"/>
      <c r="EQ113" s="92"/>
      <c r="ER113" s="92"/>
      <c r="ES113" s="92"/>
      <c r="ET113" s="92"/>
      <c r="EU113" s="92"/>
      <c r="EV113" s="92"/>
      <c r="EW113" s="92"/>
      <c r="EX113" s="92"/>
      <c r="EY113" s="92"/>
      <c r="EZ113" s="92"/>
      <c r="FA113" s="92"/>
      <c r="FB113" s="92"/>
      <c r="FC113" s="92"/>
      <c r="FD113" s="177"/>
      <c r="FE113" s="92"/>
      <c r="FF113" s="92"/>
      <c r="FG113" s="92"/>
      <c r="FH113" s="92"/>
      <c r="FI113" s="92"/>
      <c r="FJ113" s="92"/>
      <c r="FK113" s="92"/>
      <c r="FL113" s="92"/>
      <c r="FM113" s="92"/>
      <c r="FN113" s="92"/>
      <c r="FO113" s="92"/>
      <c r="FP113" s="92"/>
      <c r="FQ113" s="92"/>
      <c r="FR113" s="92"/>
      <c r="FS113" s="177"/>
      <c r="FT113" s="92"/>
      <c r="FU113" s="92"/>
      <c r="FV113" s="92"/>
      <c r="FW113" s="75"/>
      <c r="FX113" s="31"/>
      <c r="FY113" s="31"/>
      <c r="FZ113" s="31"/>
      <c r="GA113" s="31"/>
    </row>
    <row r="114">
      <c r="A114" s="31"/>
      <c r="B114" s="31"/>
      <c r="C114" s="31"/>
      <c r="D114" s="31"/>
      <c r="E114" s="31"/>
      <c r="F114" s="31"/>
      <c r="G114" s="208"/>
      <c r="H114" s="208"/>
      <c r="I114" s="208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  <c r="CD114" s="74"/>
      <c r="CE114" s="74"/>
      <c r="CF114" s="74"/>
      <c r="CG114" s="74"/>
      <c r="CH114" s="74"/>
      <c r="CI114" s="74"/>
      <c r="CJ114" s="74"/>
      <c r="CK114" s="74"/>
      <c r="CL114" s="74"/>
      <c r="CM114" s="74"/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  <c r="DL114" s="74"/>
      <c r="DM114" s="74"/>
      <c r="DN114" s="74"/>
      <c r="DO114" s="74"/>
      <c r="DP114" s="74"/>
      <c r="DQ114" s="74"/>
      <c r="DR114" s="74"/>
      <c r="DS114" s="74"/>
      <c r="DT114" s="74"/>
      <c r="DU114" s="74"/>
      <c r="DV114" s="74"/>
      <c r="DW114" s="74"/>
      <c r="DX114" s="74"/>
      <c r="DY114" s="74"/>
      <c r="DZ114" s="75"/>
      <c r="EA114" s="92"/>
      <c r="EB114" s="92"/>
      <c r="EC114" s="92"/>
      <c r="ED114" s="92"/>
      <c r="EE114" s="92"/>
      <c r="EF114" s="92"/>
      <c r="EG114" s="92"/>
      <c r="EH114" s="92"/>
      <c r="EI114" s="92"/>
      <c r="EJ114" s="92"/>
      <c r="EK114" s="92"/>
      <c r="EL114" s="92"/>
      <c r="EM114" s="92"/>
      <c r="EN114" s="92"/>
      <c r="EO114" s="177"/>
      <c r="EP114" s="92"/>
      <c r="EQ114" s="92"/>
      <c r="ER114" s="92"/>
      <c r="ES114" s="92"/>
      <c r="ET114" s="92"/>
      <c r="EU114" s="92"/>
      <c r="EV114" s="92"/>
      <c r="EW114" s="92"/>
      <c r="EX114" s="92"/>
      <c r="EY114" s="92"/>
      <c r="EZ114" s="92"/>
      <c r="FA114" s="92"/>
      <c r="FB114" s="92"/>
      <c r="FC114" s="92"/>
      <c r="FD114" s="177"/>
      <c r="FE114" s="92"/>
      <c r="FF114" s="92"/>
      <c r="FG114" s="92"/>
      <c r="FH114" s="92"/>
      <c r="FI114" s="92"/>
      <c r="FJ114" s="92"/>
      <c r="FK114" s="92"/>
      <c r="FL114" s="92"/>
      <c r="FM114" s="92"/>
      <c r="FN114" s="92"/>
      <c r="FO114" s="92"/>
      <c r="FP114" s="92"/>
      <c r="FQ114" s="92"/>
      <c r="FR114" s="92"/>
      <c r="FS114" s="177"/>
      <c r="FT114" s="92"/>
      <c r="FU114" s="92"/>
      <c r="FV114" s="92"/>
      <c r="FW114" s="75"/>
      <c r="FX114" s="31"/>
      <c r="FY114" s="31"/>
      <c r="FZ114" s="31"/>
      <c r="GA114" s="31"/>
    </row>
    <row r="115">
      <c r="A115" s="31"/>
      <c r="B115" s="31"/>
      <c r="C115" s="31"/>
      <c r="D115" s="31"/>
      <c r="E115" s="31"/>
      <c r="F115" s="31"/>
      <c r="G115" s="208"/>
      <c r="H115" s="208"/>
      <c r="I115" s="208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4"/>
      <c r="CH115" s="74"/>
      <c r="CI115" s="74"/>
      <c r="CJ115" s="74"/>
      <c r="CK115" s="74"/>
      <c r="CL115" s="74"/>
      <c r="CM115" s="74"/>
      <c r="CN115" s="74"/>
      <c r="CO115" s="74"/>
      <c r="CP115" s="74"/>
      <c r="CQ115" s="74"/>
      <c r="CR115" s="74"/>
      <c r="CS115" s="74"/>
      <c r="CT115" s="74"/>
      <c r="CU115" s="74"/>
      <c r="CV115" s="74"/>
      <c r="CW115" s="74"/>
      <c r="CX115" s="74"/>
      <c r="CY115" s="74"/>
      <c r="CZ115" s="74"/>
      <c r="DA115" s="74"/>
      <c r="DB115" s="74"/>
      <c r="DC115" s="74"/>
      <c r="DD115" s="74"/>
      <c r="DE115" s="74"/>
      <c r="DF115" s="74"/>
      <c r="DG115" s="74"/>
      <c r="DH115" s="74"/>
      <c r="DI115" s="74"/>
      <c r="DJ115" s="74"/>
      <c r="DK115" s="74"/>
      <c r="DL115" s="74"/>
      <c r="DM115" s="74"/>
      <c r="DN115" s="74"/>
      <c r="DO115" s="74"/>
      <c r="DP115" s="74"/>
      <c r="DQ115" s="74"/>
      <c r="DR115" s="74"/>
      <c r="DS115" s="74"/>
      <c r="DT115" s="74"/>
      <c r="DU115" s="74"/>
      <c r="DV115" s="74"/>
      <c r="DW115" s="74"/>
      <c r="DX115" s="74"/>
      <c r="DY115" s="74"/>
      <c r="DZ115" s="75"/>
      <c r="EA115" s="92"/>
      <c r="EB115" s="92"/>
      <c r="EC115" s="92"/>
      <c r="ED115" s="92"/>
      <c r="EE115" s="92"/>
      <c r="EF115" s="92"/>
      <c r="EG115" s="92"/>
      <c r="EH115" s="92"/>
      <c r="EI115" s="92"/>
      <c r="EJ115" s="92"/>
      <c r="EK115" s="92"/>
      <c r="EL115" s="92"/>
      <c r="EM115" s="92"/>
      <c r="EN115" s="92"/>
      <c r="EO115" s="177"/>
      <c r="EP115" s="92"/>
      <c r="EQ115" s="92"/>
      <c r="ER115" s="92"/>
      <c r="ES115" s="92"/>
      <c r="ET115" s="92"/>
      <c r="EU115" s="92"/>
      <c r="EV115" s="92"/>
      <c r="EW115" s="92"/>
      <c r="EX115" s="92"/>
      <c r="EY115" s="92"/>
      <c r="EZ115" s="92"/>
      <c r="FA115" s="92"/>
      <c r="FB115" s="92"/>
      <c r="FC115" s="92"/>
      <c r="FD115" s="177"/>
      <c r="FE115" s="92"/>
      <c r="FF115" s="92"/>
      <c r="FG115" s="92"/>
      <c r="FH115" s="92"/>
      <c r="FI115" s="92"/>
      <c r="FJ115" s="92"/>
      <c r="FK115" s="92"/>
      <c r="FL115" s="92"/>
      <c r="FM115" s="92"/>
      <c r="FN115" s="92"/>
      <c r="FO115" s="92"/>
      <c r="FP115" s="92"/>
      <c r="FQ115" s="92"/>
      <c r="FR115" s="92"/>
      <c r="FS115" s="177"/>
      <c r="FT115" s="92"/>
      <c r="FU115" s="92"/>
      <c r="FV115" s="92"/>
      <c r="FW115" s="75"/>
      <c r="FX115" s="31"/>
      <c r="FY115" s="31"/>
      <c r="FZ115" s="31"/>
      <c r="GA115" s="31"/>
    </row>
    <row r="116">
      <c r="A116" s="31"/>
      <c r="B116" s="31"/>
      <c r="C116" s="31"/>
      <c r="D116" s="31"/>
      <c r="E116" s="31"/>
      <c r="F116" s="31"/>
      <c r="G116" s="208"/>
      <c r="H116" s="208"/>
      <c r="I116" s="208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  <c r="CU116" s="74"/>
      <c r="CV116" s="74"/>
      <c r="CW116" s="74"/>
      <c r="CX116" s="74"/>
      <c r="CY116" s="74"/>
      <c r="CZ116" s="74"/>
      <c r="DA116" s="74"/>
      <c r="DB116" s="74"/>
      <c r="DC116" s="74"/>
      <c r="DD116" s="74"/>
      <c r="DE116" s="74"/>
      <c r="DF116" s="74"/>
      <c r="DG116" s="74"/>
      <c r="DH116" s="74"/>
      <c r="DI116" s="74"/>
      <c r="DJ116" s="74"/>
      <c r="DK116" s="74"/>
      <c r="DL116" s="74"/>
      <c r="DM116" s="74"/>
      <c r="DN116" s="74"/>
      <c r="DO116" s="74"/>
      <c r="DP116" s="74"/>
      <c r="DQ116" s="74"/>
      <c r="DR116" s="74"/>
      <c r="DS116" s="74"/>
      <c r="DT116" s="74"/>
      <c r="DU116" s="74"/>
      <c r="DV116" s="74"/>
      <c r="DW116" s="74"/>
      <c r="DX116" s="74"/>
      <c r="DY116" s="74"/>
      <c r="DZ116" s="75"/>
      <c r="EA116" s="92"/>
      <c r="EB116" s="92"/>
      <c r="EC116" s="92"/>
      <c r="ED116" s="92"/>
      <c r="EE116" s="92"/>
      <c r="EF116" s="92"/>
      <c r="EG116" s="92"/>
      <c r="EH116" s="92"/>
      <c r="EI116" s="92"/>
      <c r="EJ116" s="92"/>
      <c r="EK116" s="92"/>
      <c r="EL116" s="92"/>
      <c r="EM116" s="92"/>
      <c r="EN116" s="92"/>
      <c r="EO116" s="177"/>
      <c r="EP116" s="92"/>
      <c r="EQ116" s="92"/>
      <c r="ER116" s="92"/>
      <c r="ES116" s="92"/>
      <c r="ET116" s="92"/>
      <c r="EU116" s="92"/>
      <c r="EV116" s="92"/>
      <c r="EW116" s="92"/>
      <c r="EX116" s="92"/>
      <c r="EY116" s="92"/>
      <c r="EZ116" s="92"/>
      <c r="FA116" s="92"/>
      <c r="FB116" s="92"/>
      <c r="FC116" s="92"/>
      <c r="FD116" s="177"/>
      <c r="FE116" s="92"/>
      <c r="FF116" s="92"/>
      <c r="FG116" s="92"/>
      <c r="FH116" s="92"/>
      <c r="FI116" s="92"/>
      <c r="FJ116" s="92"/>
      <c r="FK116" s="92"/>
      <c r="FL116" s="92"/>
      <c r="FM116" s="92"/>
      <c r="FN116" s="92"/>
      <c r="FO116" s="92"/>
      <c r="FP116" s="92"/>
      <c r="FQ116" s="92"/>
      <c r="FR116" s="92"/>
      <c r="FS116" s="177"/>
      <c r="FT116" s="92"/>
      <c r="FU116" s="92"/>
      <c r="FV116" s="92"/>
      <c r="FW116" s="75"/>
      <c r="FX116" s="31"/>
      <c r="FY116" s="31"/>
      <c r="FZ116" s="31"/>
      <c r="GA116" s="31"/>
    </row>
    <row r="117">
      <c r="A117" s="31"/>
      <c r="B117" s="31"/>
      <c r="C117" s="31"/>
      <c r="D117" s="31"/>
      <c r="E117" s="31"/>
      <c r="F117" s="31"/>
      <c r="G117" s="208"/>
      <c r="H117" s="208"/>
      <c r="I117" s="208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74"/>
      <c r="CP117" s="74"/>
      <c r="CQ117" s="74"/>
      <c r="CR117" s="74"/>
      <c r="CS117" s="74"/>
      <c r="CT117" s="74"/>
      <c r="CU117" s="74"/>
      <c r="CV117" s="74"/>
      <c r="CW117" s="74"/>
      <c r="CX117" s="74"/>
      <c r="CY117" s="74"/>
      <c r="CZ117" s="74"/>
      <c r="DA117" s="74"/>
      <c r="DB117" s="74"/>
      <c r="DC117" s="74"/>
      <c r="DD117" s="74"/>
      <c r="DE117" s="74"/>
      <c r="DF117" s="74"/>
      <c r="DG117" s="74"/>
      <c r="DH117" s="74"/>
      <c r="DI117" s="74"/>
      <c r="DJ117" s="74"/>
      <c r="DK117" s="74"/>
      <c r="DL117" s="74"/>
      <c r="DM117" s="74"/>
      <c r="DN117" s="74"/>
      <c r="DO117" s="74"/>
      <c r="DP117" s="74"/>
      <c r="DQ117" s="74"/>
      <c r="DR117" s="74"/>
      <c r="DS117" s="74"/>
      <c r="DT117" s="74"/>
      <c r="DU117" s="74"/>
      <c r="DV117" s="74"/>
      <c r="DW117" s="74"/>
      <c r="DX117" s="74"/>
      <c r="DY117" s="74"/>
      <c r="DZ117" s="75"/>
      <c r="EA117" s="92"/>
      <c r="EB117" s="92"/>
      <c r="EC117" s="92"/>
      <c r="ED117" s="92"/>
      <c r="EE117" s="92"/>
      <c r="EF117" s="92"/>
      <c r="EG117" s="92"/>
      <c r="EH117" s="92"/>
      <c r="EI117" s="92"/>
      <c r="EJ117" s="92"/>
      <c r="EK117" s="92"/>
      <c r="EL117" s="92"/>
      <c r="EM117" s="92"/>
      <c r="EN117" s="92"/>
      <c r="EO117" s="177"/>
      <c r="EP117" s="92"/>
      <c r="EQ117" s="92"/>
      <c r="ER117" s="92"/>
      <c r="ES117" s="92"/>
      <c r="ET117" s="92"/>
      <c r="EU117" s="92"/>
      <c r="EV117" s="92"/>
      <c r="EW117" s="92"/>
      <c r="EX117" s="92"/>
      <c r="EY117" s="92"/>
      <c r="EZ117" s="92"/>
      <c r="FA117" s="92"/>
      <c r="FB117" s="92"/>
      <c r="FC117" s="92"/>
      <c r="FD117" s="177"/>
      <c r="FE117" s="92"/>
      <c r="FF117" s="92"/>
      <c r="FG117" s="92"/>
      <c r="FH117" s="92"/>
      <c r="FI117" s="92"/>
      <c r="FJ117" s="92"/>
      <c r="FK117" s="92"/>
      <c r="FL117" s="92"/>
      <c r="FM117" s="92"/>
      <c r="FN117" s="92"/>
      <c r="FO117" s="92"/>
      <c r="FP117" s="92"/>
      <c r="FQ117" s="92"/>
      <c r="FR117" s="92"/>
      <c r="FS117" s="177"/>
      <c r="FT117" s="92"/>
      <c r="FU117" s="92"/>
      <c r="FV117" s="92"/>
      <c r="FW117" s="75"/>
      <c r="FX117" s="31"/>
      <c r="FY117" s="31"/>
      <c r="FZ117" s="31"/>
      <c r="GA117" s="31"/>
    </row>
    <row r="118">
      <c r="A118" s="31"/>
      <c r="B118" s="31"/>
      <c r="C118" s="31"/>
      <c r="D118" s="31"/>
      <c r="E118" s="31"/>
      <c r="F118" s="31"/>
      <c r="G118" s="208"/>
      <c r="H118" s="208"/>
      <c r="I118" s="208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4"/>
      <c r="CH118" s="74"/>
      <c r="CI118" s="74"/>
      <c r="CJ118" s="74"/>
      <c r="CK118" s="74"/>
      <c r="CL118" s="74"/>
      <c r="CM118" s="74"/>
      <c r="CN118" s="74"/>
      <c r="CO118" s="74"/>
      <c r="CP118" s="74"/>
      <c r="CQ118" s="74"/>
      <c r="CR118" s="74"/>
      <c r="CS118" s="74"/>
      <c r="CT118" s="74"/>
      <c r="CU118" s="74"/>
      <c r="CV118" s="74"/>
      <c r="CW118" s="74"/>
      <c r="CX118" s="74"/>
      <c r="CY118" s="74"/>
      <c r="CZ118" s="74"/>
      <c r="DA118" s="74"/>
      <c r="DB118" s="74"/>
      <c r="DC118" s="74"/>
      <c r="DD118" s="74"/>
      <c r="DE118" s="74"/>
      <c r="DF118" s="74"/>
      <c r="DG118" s="74"/>
      <c r="DH118" s="74"/>
      <c r="DI118" s="74"/>
      <c r="DJ118" s="74"/>
      <c r="DK118" s="74"/>
      <c r="DL118" s="74"/>
      <c r="DM118" s="74"/>
      <c r="DN118" s="74"/>
      <c r="DO118" s="74"/>
      <c r="DP118" s="74"/>
      <c r="DQ118" s="74"/>
      <c r="DR118" s="74"/>
      <c r="DS118" s="74"/>
      <c r="DT118" s="74"/>
      <c r="DU118" s="74"/>
      <c r="DV118" s="74"/>
      <c r="DW118" s="74"/>
      <c r="DX118" s="74"/>
      <c r="DY118" s="74"/>
      <c r="DZ118" s="75"/>
      <c r="EA118" s="92"/>
      <c r="EB118" s="92"/>
      <c r="EC118" s="92"/>
      <c r="ED118" s="92"/>
      <c r="EE118" s="92"/>
      <c r="EF118" s="92"/>
      <c r="EG118" s="92"/>
      <c r="EH118" s="92"/>
      <c r="EI118" s="92"/>
      <c r="EJ118" s="92"/>
      <c r="EK118" s="92"/>
      <c r="EL118" s="92"/>
      <c r="EM118" s="92"/>
      <c r="EN118" s="92"/>
      <c r="EO118" s="177"/>
      <c r="EP118" s="92"/>
      <c r="EQ118" s="92"/>
      <c r="ER118" s="92"/>
      <c r="ES118" s="92"/>
      <c r="ET118" s="92"/>
      <c r="EU118" s="92"/>
      <c r="EV118" s="92"/>
      <c r="EW118" s="92"/>
      <c r="EX118" s="92"/>
      <c r="EY118" s="92"/>
      <c r="EZ118" s="92"/>
      <c r="FA118" s="92"/>
      <c r="FB118" s="92"/>
      <c r="FC118" s="92"/>
      <c r="FD118" s="177"/>
      <c r="FE118" s="92"/>
      <c r="FF118" s="92"/>
      <c r="FG118" s="92"/>
      <c r="FH118" s="92"/>
      <c r="FI118" s="92"/>
      <c r="FJ118" s="92"/>
      <c r="FK118" s="92"/>
      <c r="FL118" s="92"/>
      <c r="FM118" s="92"/>
      <c r="FN118" s="92"/>
      <c r="FO118" s="92"/>
      <c r="FP118" s="92"/>
      <c r="FQ118" s="92"/>
      <c r="FR118" s="92"/>
      <c r="FS118" s="177"/>
      <c r="FT118" s="92"/>
      <c r="FU118" s="92"/>
      <c r="FV118" s="92"/>
      <c r="FW118" s="75"/>
      <c r="FX118" s="31"/>
      <c r="FY118" s="31"/>
      <c r="FZ118" s="31"/>
      <c r="GA118" s="31"/>
    </row>
    <row r="119">
      <c r="A119" s="31"/>
      <c r="B119" s="31"/>
      <c r="C119" s="31"/>
      <c r="D119" s="31"/>
      <c r="E119" s="31"/>
      <c r="F119" s="31"/>
      <c r="G119" s="208"/>
      <c r="H119" s="208"/>
      <c r="I119" s="208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4"/>
      <c r="CH119" s="74"/>
      <c r="CI119" s="74"/>
      <c r="CJ119" s="74"/>
      <c r="CK119" s="74"/>
      <c r="CL119" s="74"/>
      <c r="CM119" s="74"/>
      <c r="CN119" s="74"/>
      <c r="CO119" s="74"/>
      <c r="CP119" s="74"/>
      <c r="CQ119" s="74"/>
      <c r="CR119" s="74"/>
      <c r="CS119" s="74"/>
      <c r="CT119" s="74"/>
      <c r="CU119" s="74"/>
      <c r="CV119" s="74"/>
      <c r="CW119" s="74"/>
      <c r="CX119" s="74"/>
      <c r="CY119" s="74"/>
      <c r="CZ119" s="74"/>
      <c r="DA119" s="74"/>
      <c r="DB119" s="74"/>
      <c r="DC119" s="74"/>
      <c r="DD119" s="74"/>
      <c r="DE119" s="74"/>
      <c r="DF119" s="74"/>
      <c r="DG119" s="74"/>
      <c r="DH119" s="74"/>
      <c r="DI119" s="74"/>
      <c r="DJ119" s="74"/>
      <c r="DK119" s="74"/>
      <c r="DL119" s="74"/>
      <c r="DM119" s="74"/>
      <c r="DN119" s="74"/>
      <c r="DO119" s="74"/>
      <c r="DP119" s="74"/>
      <c r="DQ119" s="74"/>
      <c r="DR119" s="74"/>
      <c r="DS119" s="74"/>
      <c r="DT119" s="74"/>
      <c r="DU119" s="74"/>
      <c r="DV119" s="74"/>
      <c r="DW119" s="74"/>
      <c r="DX119" s="74"/>
      <c r="DY119" s="74"/>
      <c r="DZ119" s="75"/>
      <c r="EA119" s="92"/>
      <c r="EB119" s="92"/>
      <c r="EC119" s="92"/>
      <c r="ED119" s="92"/>
      <c r="EE119" s="92"/>
      <c r="EF119" s="92"/>
      <c r="EG119" s="92"/>
      <c r="EH119" s="92"/>
      <c r="EI119" s="92"/>
      <c r="EJ119" s="92"/>
      <c r="EK119" s="92"/>
      <c r="EL119" s="92"/>
      <c r="EM119" s="92"/>
      <c r="EN119" s="92"/>
      <c r="EO119" s="177"/>
      <c r="EP119" s="92"/>
      <c r="EQ119" s="92"/>
      <c r="ER119" s="92"/>
      <c r="ES119" s="92"/>
      <c r="ET119" s="92"/>
      <c r="EU119" s="92"/>
      <c r="EV119" s="92"/>
      <c r="EW119" s="92"/>
      <c r="EX119" s="92"/>
      <c r="EY119" s="92"/>
      <c r="EZ119" s="92"/>
      <c r="FA119" s="92"/>
      <c r="FB119" s="92"/>
      <c r="FC119" s="92"/>
      <c r="FD119" s="177"/>
      <c r="FE119" s="92"/>
      <c r="FF119" s="92"/>
      <c r="FG119" s="92"/>
      <c r="FH119" s="92"/>
      <c r="FI119" s="92"/>
      <c r="FJ119" s="92"/>
      <c r="FK119" s="92"/>
      <c r="FL119" s="92"/>
      <c r="FM119" s="92"/>
      <c r="FN119" s="92"/>
      <c r="FO119" s="92"/>
      <c r="FP119" s="92"/>
      <c r="FQ119" s="92"/>
      <c r="FR119" s="92"/>
      <c r="FS119" s="177"/>
      <c r="FT119" s="92"/>
      <c r="FU119" s="92"/>
      <c r="FV119" s="92"/>
      <c r="FW119" s="75"/>
      <c r="FX119" s="31"/>
      <c r="FY119" s="31"/>
      <c r="FZ119" s="31"/>
      <c r="GA119" s="31"/>
    </row>
    <row r="120">
      <c r="A120" s="31"/>
      <c r="B120" s="31"/>
      <c r="C120" s="31"/>
      <c r="D120" s="31"/>
      <c r="E120" s="31"/>
      <c r="F120" s="31"/>
      <c r="G120" s="208"/>
      <c r="H120" s="208"/>
      <c r="I120" s="208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  <c r="BY120" s="74"/>
      <c r="BZ120" s="74"/>
      <c r="CA120" s="74"/>
      <c r="CB120" s="74"/>
      <c r="CC120" s="74"/>
      <c r="CD120" s="74"/>
      <c r="CE120" s="74"/>
      <c r="CF120" s="74"/>
      <c r="CG120" s="74"/>
      <c r="CH120" s="74"/>
      <c r="CI120" s="74"/>
      <c r="CJ120" s="74"/>
      <c r="CK120" s="74"/>
      <c r="CL120" s="74"/>
      <c r="CM120" s="74"/>
      <c r="CN120" s="74"/>
      <c r="CO120" s="74"/>
      <c r="CP120" s="74"/>
      <c r="CQ120" s="74"/>
      <c r="CR120" s="74"/>
      <c r="CS120" s="74"/>
      <c r="CT120" s="74"/>
      <c r="CU120" s="74"/>
      <c r="CV120" s="74"/>
      <c r="CW120" s="74"/>
      <c r="CX120" s="74"/>
      <c r="CY120" s="74"/>
      <c r="CZ120" s="74"/>
      <c r="DA120" s="74"/>
      <c r="DB120" s="74"/>
      <c r="DC120" s="74"/>
      <c r="DD120" s="74"/>
      <c r="DE120" s="74"/>
      <c r="DF120" s="74"/>
      <c r="DG120" s="74"/>
      <c r="DH120" s="74"/>
      <c r="DI120" s="74"/>
      <c r="DJ120" s="74"/>
      <c r="DK120" s="74"/>
      <c r="DL120" s="74"/>
      <c r="DM120" s="74"/>
      <c r="DN120" s="74"/>
      <c r="DO120" s="74"/>
      <c r="DP120" s="74"/>
      <c r="DQ120" s="74"/>
      <c r="DR120" s="74"/>
      <c r="DS120" s="74"/>
      <c r="DT120" s="74"/>
      <c r="DU120" s="74"/>
      <c r="DV120" s="74"/>
      <c r="DW120" s="74"/>
      <c r="DX120" s="74"/>
      <c r="DY120" s="74"/>
      <c r="DZ120" s="75"/>
      <c r="EA120" s="92"/>
      <c r="EB120" s="92"/>
      <c r="EC120" s="92"/>
      <c r="ED120" s="92"/>
      <c r="EE120" s="92"/>
      <c r="EF120" s="92"/>
      <c r="EG120" s="92"/>
      <c r="EH120" s="92"/>
      <c r="EI120" s="92"/>
      <c r="EJ120" s="92"/>
      <c r="EK120" s="92"/>
      <c r="EL120" s="92"/>
      <c r="EM120" s="92"/>
      <c r="EN120" s="92"/>
      <c r="EO120" s="211"/>
      <c r="EP120" s="92"/>
      <c r="EQ120" s="92"/>
      <c r="ER120" s="92"/>
      <c r="ES120" s="92"/>
      <c r="ET120" s="92"/>
      <c r="EU120" s="92"/>
      <c r="EV120" s="92"/>
      <c r="EW120" s="92"/>
      <c r="EX120" s="92"/>
      <c r="EY120" s="92"/>
      <c r="EZ120" s="92"/>
      <c r="FA120" s="92"/>
      <c r="FB120" s="92"/>
      <c r="FC120" s="92"/>
      <c r="FD120" s="211"/>
      <c r="FE120" s="92"/>
      <c r="FF120" s="92"/>
      <c r="FG120" s="92"/>
      <c r="FH120" s="92"/>
      <c r="FI120" s="92"/>
      <c r="FJ120" s="92"/>
      <c r="FK120" s="92"/>
      <c r="FL120" s="92"/>
      <c r="FM120" s="92"/>
      <c r="FN120" s="92"/>
      <c r="FO120" s="92"/>
      <c r="FP120" s="92"/>
      <c r="FQ120" s="92"/>
      <c r="FR120" s="92"/>
      <c r="FS120" s="211"/>
      <c r="FT120" s="92"/>
      <c r="FU120" s="92"/>
      <c r="FV120" s="92"/>
      <c r="FW120" s="75"/>
      <c r="FX120" s="31"/>
      <c r="FY120" s="31"/>
      <c r="FZ120" s="31"/>
      <c r="GA120" s="31"/>
    </row>
  </sheetData>
  <mergeCells count="96">
    <mergeCell ref="CQ53:DD53"/>
    <mergeCell ref="DE53:DE54"/>
    <mergeCell ref="DF53:DS53"/>
    <mergeCell ref="DT53:DT54"/>
    <mergeCell ref="DZ10:DZ51"/>
    <mergeCell ref="DZ53:DZ54"/>
    <mergeCell ref="BC10:BP10"/>
    <mergeCell ref="BR10:BZ10"/>
    <mergeCell ref="CA10:CA51"/>
    <mergeCell ref="CB52:DZ52"/>
    <mergeCell ref="CB53:CO53"/>
    <mergeCell ref="CP53:CP54"/>
    <mergeCell ref="DU53:DY53"/>
    <mergeCell ref="G7:G10"/>
    <mergeCell ref="H7:H10"/>
    <mergeCell ref="C91:I91"/>
    <mergeCell ref="B93:I93"/>
    <mergeCell ref="B11:I11"/>
    <mergeCell ref="C12:I12"/>
    <mergeCell ref="C33:I33"/>
    <mergeCell ref="C39:I39"/>
    <mergeCell ref="C46:I46"/>
    <mergeCell ref="B52:I52"/>
    <mergeCell ref="C54:I54"/>
    <mergeCell ref="CB81:CO81"/>
    <mergeCell ref="CQ81:DD81"/>
    <mergeCell ref="DF81:DS81"/>
    <mergeCell ref="DU81:DY81"/>
    <mergeCell ref="CB91:CO91"/>
    <mergeCell ref="CQ91:DD91"/>
    <mergeCell ref="DF91:DS91"/>
    <mergeCell ref="DU91:DY91"/>
    <mergeCell ref="CB93:CO93"/>
    <mergeCell ref="CQ93:DD93"/>
    <mergeCell ref="DF93:DS93"/>
    <mergeCell ref="DU93:DY93"/>
    <mergeCell ref="EO96:EO120"/>
    <mergeCell ref="FD96:FD120"/>
    <mergeCell ref="FS96:FS120"/>
    <mergeCell ref="CB76:CO76"/>
    <mergeCell ref="CQ76:DD76"/>
    <mergeCell ref="DF76:DS76"/>
    <mergeCell ref="DU76:DY76"/>
    <mergeCell ref="CA53:CA93"/>
    <mergeCell ref="CP55:CP93"/>
    <mergeCell ref="DE55:DE93"/>
    <mergeCell ref="FS94:FS95"/>
    <mergeCell ref="FE94:FR94"/>
    <mergeCell ref="J76:BZ76"/>
    <mergeCell ref="J81:BZ81"/>
    <mergeCell ref="J91:BZ91"/>
    <mergeCell ref="J93:BZ93"/>
    <mergeCell ref="EA93:FV93"/>
    <mergeCell ref="EO94:EO95"/>
    <mergeCell ref="EA94:EN94"/>
    <mergeCell ref="FT95:FV95"/>
    <mergeCell ref="FT94:FV94"/>
    <mergeCell ref="B2:I2"/>
    <mergeCell ref="J2:O2"/>
    <mergeCell ref="P2:AL2"/>
    <mergeCell ref="B4:C4"/>
    <mergeCell ref="Q4:AD4"/>
    <mergeCell ref="B5:C5"/>
    <mergeCell ref="D5:G5"/>
    <mergeCell ref="Q5:AC5"/>
    <mergeCell ref="J7:P7"/>
    <mergeCell ref="Q7:AV7"/>
    <mergeCell ref="DK7:EP7"/>
    <mergeCell ref="EQ7:FW7"/>
    <mergeCell ref="CD7:DJ7"/>
    <mergeCell ref="AW7:CC7"/>
    <mergeCell ref="B7:B10"/>
    <mergeCell ref="C7:C10"/>
    <mergeCell ref="D7:D10"/>
    <mergeCell ref="E7:E10"/>
    <mergeCell ref="F7:F10"/>
    <mergeCell ref="I7:I10"/>
    <mergeCell ref="X8:X10"/>
    <mergeCell ref="AM8:AM10"/>
    <mergeCell ref="BB8:BB10"/>
    <mergeCell ref="BQ8:BQ10"/>
    <mergeCell ref="J10:W10"/>
    <mergeCell ref="Y10:AL10"/>
    <mergeCell ref="AN10:BA10"/>
    <mergeCell ref="C76:I76"/>
    <mergeCell ref="C81:I81"/>
    <mergeCell ref="J11:BZ11"/>
    <mergeCell ref="J12:BZ12"/>
    <mergeCell ref="J33:BZ33"/>
    <mergeCell ref="J39:BZ39"/>
    <mergeCell ref="J46:BZ46"/>
    <mergeCell ref="J52:BZ52"/>
    <mergeCell ref="J54:BZ54"/>
    <mergeCell ref="EP94:FC94"/>
    <mergeCell ref="FD94:FD95"/>
    <mergeCell ref="FW94:FW95"/>
  </mergeCells>
  <conditionalFormatting sqref="I13:I32 I34:I38 I40:I45 I47:I51 I55:I75 I77:I80 I82:I90 I92">
    <cfRule type="colorScale" priority="1">
      <colorScale>
        <cfvo type="min"/>
        <cfvo type="max"/>
        <color rgb="FFFFFFFF"/>
        <color rgb="FF57BB8A"/>
      </colorScale>
    </cfRule>
  </conditionalFormatting>
  <conditionalFormatting sqref="I13:I32 I34:I38 I40:I45 I47:I51 I55:I75 I77:I80 I82:I90 I92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